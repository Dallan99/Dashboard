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llan\Desktop\dashboard_dio\"/>
    </mc:Choice>
  </mc:AlternateContent>
  <xr:revisionPtr revIDLastSave="0" documentId="13_ncr:1_{51A87E70-BA6C-4EED-9532-C263C15D6172}" xr6:coauthVersionLast="47" xr6:coauthVersionMax="47" xr10:uidLastSave="{00000000-0000-0000-0000-000000000000}"/>
  <bookViews>
    <workbookView xWindow="20370" yWindow="-120" windowWidth="20640" windowHeight="11040" tabRatio="759" firstSheet="3" activeTab="3" xr2:uid="{58E4E064-0899-4B21-97FE-65E8413F9C4E}"/>
  </bookViews>
  <sheets>
    <sheet name="Data" sheetId="1" state="hidden" r:id="rId1"/>
    <sheet name="Caixinha" sheetId="5" state="hidden" r:id="rId2"/>
    <sheet name="Controller" sheetId="3" state="hidden" r:id="rId3"/>
    <sheet name="Dashboard" sheetId="4" r:id="rId4"/>
  </sheets>
  <definedNames>
    <definedName name="SegmentaçãodeDados_Mês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5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<sst xmlns="http://schemas.openxmlformats.org/spreadsheetml/2006/main" count="257" uniqueCount="80">
  <si>
    <t>Data</t>
  </si>
  <si>
    <t>Tipo</t>
  </si>
  <si>
    <t>Descrição</t>
  </si>
  <si>
    <t>Valor</t>
  </si>
  <si>
    <t>Categoria</t>
  </si>
  <si>
    <t>Operação Bancária</t>
  </si>
  <si>
    <t>Status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</si>
  <si>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</si>
  <si>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</si>
  <si>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</si>
  <si>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</si>
  <si>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</si>
  <si>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</si>
  <si>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</si>
  <si>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</si>
  <si>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</si>
  <si>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</si>
  <si>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</si>
  <si>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</si>
  <si>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</si>
  <si>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</si>
  <si>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</si>
  <si>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</si>
  <si>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</si>
  <si>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</si>
  <si>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</si>
  <si>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</si>
  <si>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</si>
  <si>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</si>
  <si>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</si>
  <si>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</si>
  <si>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</si>
  <si>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</si>
  <si>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</si>
  <si>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</si>
  <si>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</si>
  <si>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</si>
  <si>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</si>
  <si>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</si>
  <si>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</si>
  <si>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</si>
  <si>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</si>
  <si>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</si>
  <si>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</si>
  <si>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</si>
  <si>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</si>
  <si>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</si>
  <si>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</si>
  <si>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</si>
  <si>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</si>
  <si>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</si>
  <si>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</si>
  <si>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</si>
  <si>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</si>
  <si>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</si>
  <si>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</si>
  <si>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</si>
  <si>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</si>
  <si>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</si>
  <si>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</si>
  <si>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</si>
  <si>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</si>
  <si>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</si>
  <si>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</si>
  <si>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</si>
  <si>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</si>
  <si>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</si>
  <si>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</si>
  <si>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</si>
  <si>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</si>
  <si>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</si>
  <si>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</si>
  <si>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Rótulos de Linha</t>
  </si>
  <si>
    <t>Total Geral</t>
  </si>
  <si>
    <t>Soma de Valor</t>
  </si>
  <si>
    <t>Mês</t>
  </si>
  <si>
    <t>Data de Lançamento</t>
  </si>
  <si>
    <t>Depósito Reservado</t>
  </si>
  <si>
    <t>Totral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</si>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</sst>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B6F5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FB6F54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3" borderId="0" xfId="0" applyFill="1"/>
    <xf numFmtId="1" fontId="0" fillId="0" borderId="0" xfId="0" applyNumberFormat="1" applyAlignment="1">
      <alignment horizontal="center" wrapText="1"/>
    </xf>
    <xf numFmtId="1" fontId="0" fillId="0" borderId="0" xfId="0" applyNumberFormat="1"/>
    <xf numFmtId="0" fontId="0" fillId="4" borderId="0" xfId="0" applyFill="1"/>
    <xf numFmtId="0" fontId="2" fillId="4" borderId="0" xfId="0" applyFont="1" applyFill="1"/>
    <xf numFmtId="44" fontId="0" fillId="4" borderId="0" xfId="1" applyFont="1" applyFill="1"/>
    <xf numFmtId="14" fontId="0" fillId="4" borderId="0" xfId="0" applyNumberFormat="1" applyFill="1"/>
    <xf numFmtId="164" fontId="0" fillId="4" borderId="0" xfId="1" applyNumberFormat="1" applyFont="1" applyFill="1"/>
    <xf numFmtId="0" fontId="1" fillId="2" borderId="0" xfId="2"/>
  </cellXfs>
  <cellStyles count="3">
    <cellStyle name="40% - Ênfase2" xfId="2" builtinId="35"/>
    <cellStyle name="Moeda" xfId="1" builtinId="4"/>
    <cellStyle name="Normal" xfId="0" builtinId="0"/>
  </cellStyles>
  <dxfs count="15">
    <dxf>
      <fill>
        <patternFill patternType="solid">
          <fgColor indexed="64"/>
          <bgColor theme="0" tint="-4.9989318521683403E-2"/>
        </patternFill>
      </fill>
    </dxf>
    <dxf>
      <numFmt numFmtId="19" formatCode="dd/mm/yyyy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B6F5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b/>
        <i val="0"/>
        <color theme="0"/>
      </font>
      <fill>
        <patternFill>
          <bgColor rgb="FFFB6F54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mystyle" pivot="0" table="0" count="10" xr9:uid="{18D9B60C-4803-4EBF-9A32-3920708E895C}">
      <tableStyleElement type="wholeTable" dxfId="14"/>
      <tableStyleElement type="headerRow" dxfId="13"/>
    </tableStyle>
  </tableStyles>
  <colors>
    <mruColors>
      <color rgb="FFFB6F5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0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b/>
            <i val="0"/>
            <color theme="1"/>
          </font>
          <fill>
            <patternFill patternType="solid">
              <fgColor theme="5"/>
              <bgColor rgb="FFFFC000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7" tint="0.59996337778862885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y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B6F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_("R$"* #,##0.00_);_("R$"* \(#,##0.00\);_("R$"* "-"??_);_(@_)</c:formatCode>
                <c:ptCount val="1"/>
                <c:pt idx="0">
                  <c:v>3340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E-41AD-A959-D4F037F9418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Caixinha!$D$4</c:f>
              <c:numCache>
                <c:formatCode>_("R$"* #,##0.00_);_("R$"* \(#,##0.00\);_("R$"* "-"??_);_(@_)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E-41AD-A959-D4F037F94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7740911"/>
        <c:axId val="1467741391"/>
      </c:barChart>
      <c:catAx>
        <c:axId val="146774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741391"/>
        <c:crosses val="autoZero"/>
        <c:auto val="1"/>
        <c:lblAlgn val="ctr"/>
        <c:lblOffset val="100"/>
        <c:noMultiLvlLbl val="0"/>
      </c:catAx>
      <c:valAx>
        <c:axId val="146774139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6774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[dashboard.xlsx]Controller!Tabela dinâmica2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Controller!$G$3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B6F54"/>
                </a:gs>
                <a:gs pos="37000">
                  <a:srgbClr val="FB6F54"/>
                </a:gs>
                <a:gs pos="83000">
                  <a:schemeClr val="bg1"/>
                </a:gs>
                <a:gs pos="10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Controller!$F$4:$F$6</c:f>
              <c:strCache>
                <c:ptCount val="2"/>
                <c:pt idx="0">
                  <c:v>Investimentos</c:v>
                </c:pt>
                <c:pt idx="1">
                  <c:v>Renda Fixa</c:v>
                </c:pt>
              </c:strCache>
            </c:strRef>
          </c:cat>
          <c:val>
            <c:numRef>
              <c:f>Controller!$G$4:$G$6</c:f>
              <c:numCache>
                <c:formatCode>_("R$"* #,##0.00_);_("R$"* \(#,##0.00\);_("R$"* "-"??_);_(@_)</c:formatCode>
                <c:ptCount val="2"/>
                <c:pt idx="0">
                  <c:v>800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3-47CA-8F65-31831927BF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2367871"/>
        <c:axId val="1166812767"/>
      </c:barChart>
      <c:catAx>
        <c:axId val="133236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812767"/>
        <c:crosses val="autoZero"/>
        <c:auto val="1"/>
        <c:lblAlgn val="ctr"/>
        <c:lblOffset val="100"/>
        <c:noMultiLvlLbl val="0"/>
      </c:catAx>
      <c:valAx>
        <c:axId val="116681276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323678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[dashboard.xlsx]Controller!Tabela dinâmica1</c:name>
    <c:fmtId val="9"/>
  </c:pivotSource>
  <c:chart>
    <c:autoTitleDeleted val="1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1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1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1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1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1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1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2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2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2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2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2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2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2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2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2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2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3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3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32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34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35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36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37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38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39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4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41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42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43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44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450216450216453E-2"/>
                  <c:h val="6.4745552639253426E-2"/>
                </c:manualLayout>
              </c15:layout>
            </c:ext>
          </c:extLst>
        </c:dLbl>
      </c:pivotFmt>
      <c:pivotFmt>
        <c:idx val="45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46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47"/>
        <c:spPr>
          <a:gradFill>
            <a:gsLst>
              <a:gs pos="0">
                <a:srgbClr val="FB6F54"/>
              </a:gs>
              <a:gs pos="37000">
                <a:srgbClr val="FB6F54"/>
              </a:gs>
              <a:gs pos="83000">
                <a:schemeClr val="bg1"/>
              </a:gs>
              <a:gs pos="100000">
                <a:schemeClr val="bg1"/>
              </a:gs>
            </a:gsLst>
            <a:lin ang="5400000" scaled="1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123376623376624"/>
                  <c:h val="6.4745552639253426E-2"/>
                </c:manualLayout>
              </c15:layout>
            </c:ext>
          </c:extLst>
        </c:dLbl>
      </c:pivotFmt>
      <c:pivotFmt>
        <c:idx val="4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Controller!$D$3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B6F54"/>
                </a:gs>
                <a:gs pos="37000">
                  <a:srgbClr val="FB6F54"/>
                </a:gs>
                <a:gs pos="83000">
                  <a:schemeClr val="bg1"/>
                </a:gs>
                <a:gs pos="10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223-4D23-ADC4-99DE0F3ADDF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23-4D23-ADC4-99DE0F3ADDF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23-4D23-ADC4-99DE0F3ADDF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23-4D23-ADC4-99DE0F3ADDF5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23-4D23-ADC4-99DE0F3ADDF5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23-4D23-ADC4-99DE0F3ADDF5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223-4D23-ADC4-99DE0F3ADDF5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23-4D23-ADC4-99DE0F3ADDF5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223-4D23-ADC4-99DE0F3ADDF5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223-4D23-ADC4-99DE0F3ADDF5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223-4D23-ADC4-99DE0F3ADDF5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223-4D23-ADC4-99DE0F3ADDF5}"/>
              </c:ext>
            </c:extLst>
          </c:dPt>
          <c:dPt>
            <c:idx val="12"/>
            <c:invertIfNegative val="0"/>
            <c:bubble3D val="0"/>
            <c:spPr>
              <a:gradFill>
                <a:gsLst>
                  <a:gs pos="0">
                    <a:srgbClr val="FB6F54"/>
                  </a:gs>
                  <a:gs pos="37000">
                    <a:srgbClr val="FB6F54"/>
                  </a:gs>
                  <a:gs pos="8300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223-4D23-ADC4-99DE0F3ADDF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9223-4D23-ADC4-99DE0F3ADDF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23376623376624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223-4D23-ADC4-99DE0F3ADDF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450216450216453E-2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223-4D23-ADC4-99DE0F3ADDF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23376623376624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223-4D23-ADC4-99DE0F3ADDF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23376623376624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223-4D23-ADC4-99DE0F3ADDF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450216450216453E-2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223-4D23-ADC4-99DE0F3ADDF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450216450216453E-2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223-4D23-ADC4-99DE0F3ADDF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450216450216453E-2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223-4D23-ADC4-99DE0F3ADDF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450216450216453E-2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223-4D23-ADC4-99DE0F3ADDF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23376623376624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9223-4D23-ADC4-99DE0F3ADDF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450216450216453E-2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223-4D23-ADC4-99DE0F3ADDF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23376623376624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9223-4D23-ADC4-99DE0F3ADDF5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23376623376624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9223-4D23-ADC4-99DE0F3ADDF5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23376623376624"/>
                      <c:h val="6.4745552639253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9223-4D23-ADC4-99DE0F3ADD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Controller!$C$4:$C$17</c:f>
              <c:strCache>
                <c:ptCount val="13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Saúde</c:v>
                </c:pt>
                <c:pt idx="8">
                  <c:v>Serviços</c:v>
                </c:pt>
                <c:pt idx="9">
                  <c:v>Transporte</c:v>
                </c:pt>
                <c:pt idx="10">
                  <c:v>Utilidades Domésticas</c:v>
                </c:pt>
                <c:pt idx="11">
                  <c:v>Vestuário</c:v>
                </c:pt>
                <c:pt idx="12">
                  <c:v>Viagem</c:v>
                </c:pt>
              </c:strCache>
            </c:strRef>
          </c:cat>
          <c:val>
            <c:numRef>
              <c:f>Controller!$D$4:$D$17</c:f>
              <c:numCache>
                <c:formatCode>_("R$"* #,##0.00_);_("R$"* \(#,##0.00\);_("R$"* "-"??_);_(@_)</c:formatCode>
                <c:ptCount val="13"/>
                <c:pt idx="0">
                  <c:v>550</c:v>
                </c:pt>
                <c:pt idx="1">
                  <c:v>80</c:v>
                </c:pt>
                <c:pt idx="2">
                  <c:v>400</c:v>
                </c:pt>
                <c:pt idx="3">
                  <c:v>1200</c:v>
                </c:pt>
                <c:pt idx="4">
                  <c:v>350</c:v>
                </c:pt>
                <c:pt idx="5">
                  <c:v>120</c:v>
                </c:pt>
                <c:pt idx="6">
                  <c:v>200</c:v>
                </c:pt>
                <c:pt idx="7">
                  <c:v>250</c:v>
                </c:pt>
                <c:pt idx="8">
                  <c:v>150</c:v>
                </c:pt>
                <c:pt idx="9">
                  <c:v>300</c:v>
                </c:pt>
                <c:pt idx="10">
                  <c:v>450</c:v>
                </c:pt>
                <c:pt idx="11">
                  <c:v>600</c:v>
                </c:pt>
                <c:pt idx="12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223-4D23-ADC4-99DE0F3ADD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157296895"/>
        <c:axId val="1157294975"/>
      </c:barChart>
      <c:catAx>
        <c:axId val="115729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7294975"/>
        <c:crosses val="autoZero"/>
        <c:auto val="1"/>
        <c:lblAlgn val="ctr"/>
        <c:lblOffset val="100"/>
        <c:noMultiLvlLbl val="0"/>
      </c:catAx>
      <c:valAx>
        <c:axId val="115729497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57296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rgbClr val="FB6F54"/>
                </a:gs>
                <a:gs pos="37000">
                  <a:srgbClr val="FB6F54"/>
                </a:gs>
                <a:gs pos="83000">
                  <a:schemeClr val="bg1"/>
                </a:gs>
                <a:gs pos="10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_("R$"* #,##0.00_);_("R$"* \(#,##0.00\);_("R$"* "-"??_);_(@_)</c:formatCode>
                <c:ptCount val="1"/>
                <c:pt idx="0">
                  <c:v>3340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7-451A-9652-2E9D66B5FC82}"/>
            </c:ext>
          </c:extLst>
        </c:ser>
        <c:ser>
          <c:idx val="1"/>
          <c:order val="1"/>
          <c:spPr>
            <a:gradFill>
              <a:gsLst>
                <a:gs pos="0">
                  <a:srgbClr val="FB6F54"/>
                </a:gs>
                <a:gs pos="37000">
                  <a:srgbClr val="FB6F54"/>
                </a:gs>
                <a:gs pos="83000">
                  <a:schemeClr val="bg1"/>
                </a:gs>
                <a:gs pos="100000">
                  <a:schemeClr val="bg1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Caixinha!$D$4</c:f>
              <c:numCache>
                <c:formatCode>_("R$"* #,##0.00_);_("R$"* \(#,##0.00\);_("R$"* "-"??_);_(@_)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7-451A-9652-2E9D66B5F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7740911"/>
        <c:axId val="1467741391"/>
      </c:barChart>
      <c:catAx>
        <c:axId val="1467740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7741391"/>
        <c:crosses val="autoZero"/>
        <c:auto val="1"/>
        <c:lblAlgn val="ctr"/>
        <c:lblOffset val="100"/>
        <c:noMultiLvlLbl val="0"/>
      </c:catAx>
      <c:valAx>
        <c:axId val="146774139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6774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ta!A1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109537</xdr:colOff>
      <xdr:row>1</xdr:row>
      <xdr:rowOff>157162</xdr:rowOff>
    </xdr:from>
    <xdr:to>
      <xdr:col>12</xdr:col>
      <xdr:colOff>414337</xdr:colOff>
      <xdr:row>16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A54EDF-77BC-09F0-EACF-3210E9CFA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148686</xdr:colOff>
      <xdr:row>0</xdr:row>
      <xdr:rowOff>160986</xdr:rowOff>
    </xdr:from>
    <xdr:to>
      <xdr:col>20</xdr:col>
      <xdr:colOff>541592</xdr:colOff>
      <xdr:row>3</xdr:row>
      <xdr:rowOff>178594</xdr:rowOff>
    </xdr:to>
    <xdr:grpSp>
      <xdr:nvGrpSpPr>
        <xdr:cNvPr id="62" name="Agrupar 61">
          <a:extLst>
            <a:ext uri="{FF2B5EF4-FFF2-40B4-BE49-F238E27FC236}">
              <a16:creationId xmlns:a16="http://schemas.microsoft.com/office/drawing/2014/main" id="{98A7A3EE-F643-C178-6C0F-9686DA441E95}"/>
            </a:ext>
          </a:extLst>
        </xdr:cNvPr>
        <xdr:cNvGrpSpPr/>
      </xdr:nvGrpSpPr>
      <xdr:grpSpPr>
        <a:xfrm>
          <a:off x="1999257" y="160986"/>
          <a:ext cx="12027014" cy="1269465"/>
          <a:chOff x="1946588" y="160986"/>
          <a:chExt cx="11863153" cy="1265249"/>
        </a:xfrm>
      </xdr:grpSpPr>
      <xdr:sp macro="" textlink="">
        <xdr:nvSpPr>
          <xdr:cNvPr id="55" name="Retângulo: Cantos Arredondados 54">
            <a:extLst>
              <a:ext uri="{FF2B5EF4-FFF2-40B4-BE49-F238E27FC236}">
                <a16:creationId xmlns:a16="http://schemas.microsoft.com/office/drawing/2014/main" id="{CD0AAD7A-64CF-40F3-A88B-981AD8904F65}"/>
              </a:ext>
            </a:extLst>
          </xdr:cNvPr>
          <xdr:cNvSpPr/>
        </xdr:nvSpPr>
        <xdr:spPr>
          <a:xfrm>
            <a:off x="1946588" y="160986"/>
            <a:ext cx="11863153" cy="126524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3E08B479-4802-0D51-08C6-FF780CEC722D}"/>
              </a:ext>
            </a:extLst>
          </xdr:cNvPr>
          <xdr:cNvSpPr/>
        </xdr:nvSpPr>
        <xdr:spPr>
          <a:xfrm>
            <a:off x="2238983" y="230869"/>
            <a:ext cx="1265159" cy="1103659"/>
          </a:xfrm>
          <a:prstGeom prst="rect">
            <a:avLst/>
          </a:prstGeom>
          <a:solidFill>
            <a:srgbClr val="FB6F5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</xdr:col>
      <xdr:colOff>68420</xdr:colOff>
      <xdr:row>5</xdr:row>
      <xdr:rowOff>0</xdr:rowOff>
    </xdr:from>
    <xdr:to>
      <xdr:col>9</xdr:col>
      <xdr:colOff>0</xdr:colOff>
      <xdr:row>18</xdr:row>
      <xdr:rowOff>175688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E35C35E6-E763-2D81-CDAF-86B4A3366A34}"/>
            </a:ext>
          </a:extLst>
        </xdr:cNvPr>
        <xdr:cNvGrpSpPr/>
      </xdr:nvGrpSpPr>
      <xdr:grpSpPr>
        <a:xfrm>
          <a:off x="1918991" y="1632857"/>
          <a:ext cx="4830152" cy="2652188"/>
          <a:chOff x="1588043" y="432673"/>
          <a:chExt cx="5241381" cy="3325220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ECE039E7-CCC0-C2E1-6AD1-D3E151F7BCE9}"/>
              </a:ext>
            </a:extLst>
          </xdr:cNvPr>
          <xdr:cNvGrpSpPr/>
        </xdr:nvGrpSpPr>
        <xdr:grpSpPr>
          <a:xfrm>
            <a:off x="1588043" y="485775"/>
            <a:ext cx="5241381" cy="3272118"/>
            <a:chOff x="1588043" y="485775"/>
            <a:chExt cx="5241381" cy="3272118"/>
          </a:xfrm>
        </xdr:grpSpPr>
        <xdr:grpSp>
          <xdr:nvGrpSpPr>
            <xdr:cNvPr id="7" name="Agrupar 6">
              <a:extLst>
                <a:ext uri="{FF2B5EF4-FFF2-40B4-BE49-F238E27FC236}">
                  <a16:creationId xmlns:a16="http://schemas.microsoft.com/office/drawing/2014/main" id="{1A3F822D-9910-DB9A-88DC-04D422F3FF69}"/>
                </a:ext>
              </a:extLst>
            </xdr:cNvPr>
            <xdr:cNvGrpSpPr/>
          </xdr:nvGrpSpPr>
          <xdr:grpSpPr>
            <a:xfrm>
              <a:off x="1588043" y="485775"/>
              <a:ext cx="5241381" cy="3272118"/>
              <a:chOff x="1702362" y="486019"/>
              <a:chExt cx="4929233" cy="3076633"/>
            </a:xfrm>
          </xdr:grpSpPr>
          <xdr:sp macro="" textlink="">
            <xdr:nvSpPr>
              <xdr:cNvPr id="4" name="Retângulo: Cantos Arredondados 3">
                <a:extLst>
                  <a:ext uri="{FF2B5EF4-FFF2-40B4-BE49-F238E27FC236}">
                    <a16:creationId xmlns:a16="http://schemas.microsoft.com/office/drawing/2014/main" id="{9FFB28FE-E65F-5A75-5C77-9235420A8DC5}"/>
                  </a:ext>
                </a:extLst>
              </xdr:cNvPr>
              <xdr:cNvSpPr/>
            </xdr:nvSpPr>
            <xdr:spPr>
              <a:xfrm>
                <a:off x="1718273" y="489856"/>
                <a:ext cx="4911127" cy="3072796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6" name="Retângulo: Cantos Superiores Arredondados 5">
                <a:extLst>
                  <a:ext uri="{FF2B5EF4-FFF2-40B4-BE49-F238E27FC236}">
                    <a16:creationId xmlns:a16="http://schemas.microsoft.com/office/drawing/2014/main" id="{74966B02-DC4D-9DD0-1F09-DAE29F0995D3}"/>
                  </a:ext>
                </a:extLst>
              </xdr:cNvPr>
              <xdr:cNvSpPr/>
            </xdr:nvSpPr>
            <xdr:spPr>
              <a:xfrm>
                <a:off x="1702362" y="486019"/>
                <a:ext cx="4929233" cy="542812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FB6F5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D39F1132-D8CA-4D5E-8CD8-A5DB4303AF83}"/>
                </a:ext>
              </a:extLst>
            </xdr:cNvPr>
            <xdr:cNvGraphicFramePr>
              <a:graphicFrameLocks/>
            </xdr:cNvGraphicFramePr>
          </xdr:nvGraphicFramePr>
          <xdr:xfrm>
            <a:off x="1776413" y="1223963"/>
            <a:ext cx="4817268" cy="213768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820DA926-5194-1ADC-EC28-369FF0520236}"/>
              </a:ext>
            </a:extLst>
          </xdr:cNvPr>
          <xdr:cNvSpPr txBox="1"/>
        </xdr:nvSpPr>
        <xdr:spPr>
          <a:xfrm>
            <a:off x="1902000" y="432673"/>
            <a:ext cx="3155615" cy="6654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3200" b="1" i="0" u="none" strike="noStrike" kern="0" cap="none" spc="0" normalizeH="0" baseline="0" noProof="0">
                <a:ln w="6600">
                  <a:solidFill>
                    <a:srgbClr val="ED7D31"/>
                  </a:solidFill>
                  <a:prstDash val="solid"/>
                </a:ln>
                <a:solidFill>
                  <a:srgbClr val="FFFFFF"/>
                </a:solidFill>
                <a:effectLst>
                  <a:outerShdw dist="38100" dir="2700000" algn="tl" rotWithShape="0">
                    <a:srgbClr val="ED7D31"/>
                  </a:outerShdw>
                </a:effectLst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Entrada</a:t>
            </a:r>
            <a:endParaRPr lang="pt-BR" sz="3200">
              <a:effectLst/>
            </a:endParaRPr>
          </a:p>
        </xdr:txBody>
      </xdr:sp>
    </xdr:grpSp>
    <xdr:clientData/>
  </xdr:twoCellAnchor>
  <xdr:oneCellAnchor>
    <xdr:from>
      <xdr:col>7</xdr:col>
      <xdr:colOff>432375</xdr:colOff>
      <xdr:row>0</xdr:row>
      <xdr:rowOff>873124</xdr:rowOff>
    </xdr:from>
    <xdr:ext cx="2691250" cy="155581"/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95C668BE-54F8-0309-818C-EE1F7B1179C1}"/>
            </a:ext>
          </a:extLst>
        </xdr:cNvPr>
        <xdr:cNvSpPr/>
      </xdr:nvSpPr>
      <xdr:spPr>
        <a:xfrm>
          <a:off x="5321875" y="873124"/>
          <a:ext cx="2691250" cy="15558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endParaRPr lang="pt-BR" sz="5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3</xdr:row>
      <xdr:rowOff>0</xdr:rowOff>
    </xdr:from>
    <xdr:to>
      <xdr:col>0</xdr:col>
      <xdr:colOff>1825624</xdr:colOff>
      <xdr:row>10</xdr:row>
      <xdr:rowOff>30140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Mês">
              <a:extLst>
                <a:ext uri="{FF2B5EF4-FFF2-40B4-BE49-F238E27FC236}">
                  <a16:creationId xmlns:a16="http://schemas.microsoft.com/office/drawing/2014/main" id="{A7F2209D-8273-4688-8355-82371FA1CB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48833"/>
              <a:ext cx="1825624" cy="1363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68420</xdr:colOff>
      <xdr:row>19</xdr:row>
      <xdr:rowOff>162530</xdr:rowOff>
    </xdr:from>
    <xdr:to>
      <xdr:col>19</xdr:col>
      <xdr:colOff>143982</xdr:colOff>
      <xdr:row>34</xdr:row>
      <xdr:rowOff>36411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FDDA99FD-3CCE-BEA1-D622-6D5A74380D77}"/>
            </a:ext>
          </a:extLst>
        </xdr:cNvPr>
        <xdr:cNvGrpSpPr/>
      </xdr:nvGrpSpPr>
      <xdr:grpSpPr>
        <a:xfrm>
          <a:off x="1918991" y="4462387"/>
          <a:ext cx="11097348" cy="2731381"/>
          <a:chOff x="2161315" y="4131192"/>
          <a:chExt cx="9232838" cy="3842119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11685907-F84B-4AE0-3352-637F1EE059C3}"/>
              </a:ext>
            </a:extLst>
          </xdr:cNvPr>
          <xdr:cNvGrpSpPr/>
        </xdr:nvGrpSpPr>
        <xdr:grpSpPr>
          <a:xfrm>
            <a:off x="2161315" y="4244705"/>
            <a:ext cx="9232838" cy="3728606"/>
            <a:chOff x="2142593" y="4747692"/>
            <a:chExt cx="9172247" cy="3195980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A3B02F96-EBED-47B2-848E-33C7A5198203}"/>
                </a:ext>
              </a:extLst>
            </xdr:cNvPr>
            <xdr:cNvGrpSpPr/>
          </xdr:nvGrpSpPr>
          <xdr:grpSpPr>
            <a:xfrm>
              <a:off x="2142593" y="4747692"/>
              <a:ext cx="9172247" cy="3195980"/>
              <a:chOff x="2142593" y="4747692"/>
              <a:chExt cx="9172247" cy="3195980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552289F1-F6B0-4B0C-8230-34B9542034F5}"/>
                  </a:ext>
                </a:extLst>
              </xdr:cNvPr>
              <xdr:cNvSpPr/>
            </xdr:nvSpPr>
            <xdr:spPr>
              <a:xfrm>
                <a:off x="2142825" y="4768104"/>
                <a:ext cx="9172015" cy="3175568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9" name="Retângulo: Cantos Superiores Arredondados 8">
                <a:extLst>
                  <a:ext uri="{FF2B5EF4-FFF2-40B4-BE49-F238E27FC236}">
                    <a16:creationId xmlns:a16="http://schemas.microsoft.com/office/drawing/2014/main" id="{60FCFF47-23D2-4478-A0AF-BCBE8799CD71}"/>
                  </a:ext>
                </a:extLst>
              </xdr:cNvPr>
              <xdr:cNvSpPr/>
            </xdr:nvSpPr>
            <xdr:spPr>
              <a:xfrm>
                <a:off x="2142593" y="4747692"/>
                <a:ext cx="9172015" cy="619419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FB6F5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2000" b="0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F202434-F810-44EB-83BB-149FA1314279}"/>
                </a:ext>
              </a:extLst>
            </xdr:cNvPr>
            <xdr:cNvGraphicFramePr>
              <a:graphicFrameLocks/>
            </xdr:cNvGraphicFramePr>
          </xdr:nvGraphicFramePr>
          <xdr:xfrm>
            <a:off x="2263077" y="5199607"/>
            <a:ext cx="878704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F596958E-A91B-40FD-BB00-D14D7E675417}"/>
              </a:ext>
            </a:extLst>
          </xdr:cNvPr>
          <xdr:cNvSpPr txBox="1"/>
        </xdr:nvSpPr>
        <xdr:spPr>
          <a:xfrm>
            <a:off x="2469853" y="4131192"/>
            <a:ext cx="3022178" cy="7778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3200" b="1" i="0" u="none" strike="noStrike" kern="0" cap="none" spc="0" normalizeH="0" baseline="0" noProof="0">
                <a:ln w="6600">
                  <a:solidFill>
                    <a:srgbClr val="ED7D31"/>
                  </a:solidFill>
                  <a:prstDash val="solid"/>
                </a:ln>
                <a:solidFill>
                  <a:srgbClr val="FFFFFF"/>
                </a:solidFill>
                <a:effectLst>
                  <a:outerShdw dist="38100" dir="2700000" algn="tl" rotWithShape="0">
                    <a:srgbClr val="ED7D31"/>
                  </a:outerShdw>
                </a:effectLst>
                <a:uLnTx/>
                <a:uFillTx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Saídas</a:t>
            </a:r>
            <a:endParaRPr lang="pt-BR" sz="3200">
              <a:effectLst/>
            </a:endParaRPr>
          </a:p>
        </xdr:txBody>
      </xdr:sp>
    </xdr:grpSp>
    <xdr:clientData/>
  </xdr:twoCellAnchor>
  <xdr:twoCellAnchor>
    <xdr:from>
      <xdr:col>4</xdr:col>
      <xdr:colOff>33229</xdr:colOff>
      <xdr:row>0</xdr:row>
      <xdr:rowOff>299046</xdr:rowOff>
    </xdr:from>
    <xdr:to>
      <xdr:col>7</xdr:col>
      <xdr:colOff>55380</xdr:colOff>
      <xdr:row>0</xdr:row>
      <xdr:rowOff>742069</xdr:rowOff>
    </xdr:to>
    <xdr:sp macro="" textlink="">
      <xdr:nvSpPr>
        <xdr:cNvPr id="43" name="Retângulo: Cantos Arredondados 42">
          <a:extLst>
            <a:ext uri="{FF2B5EF4-FFF2-40B4-BE49-F238E27FC236}">
              <a16:creationId xmlns:a16="http://schemas.microsoft.com/office/drawing/2014/main" id="{733350ED-BBD8-48AF-8085-6BA04ECA5C13}"/>
            </a:ext>
          </a:extLst>
        </xdr:cNvPr>
        <xdr:cNvSpPr/>
      </xdr:nvSpPr>
      <xdr:spPr>
        <a:xfrm>
          <a:off x="3695659" y="299046"/>
          <a:ext cx="1833242" cy="44302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Hello</a:t>
          </a:r>
          <a:r>
            <a:rPr lang="pt-BR" sz="2000">
              <a:solidFill>
                <a:schemeClr val="tx1"/>
              </a:solidFill>
            </a:rPr>
            <a:t>,</a:t>
          </a:r>
          <a:r>
            <a:rPr lang="pt-BR" sz="2000" baseline="0">
              <a:solidFill>
                <a:schemeClr val="tx1"/>
              </a:solidFill>
            </a:rPr>
            <a:t> Dallan</a:t>
          </a:r>
          <a:endParaRPr lang="pt-BR" sz="2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33229</xdr:colOff>
      <xdr:row>0</xdr:row>
      <xdr:rowOff>708841</xdr:rowOff>
    </xdr:from>
    <xdr:to>
      <xdr:col>10</xdr:col>
      <xdr:colOff>287967</xdr:colOff>
      <xdr:row>2</xdr:row>
      <xdr:rowOff>99684</xdr:rowOff>
    </xdr:to>
    <xdr:sp macro="" textlink="">
      <xdr:nvSpPr>
        <xdr:cNvPr id="45" name="Retângulo: Cantos Arredondados 44">
          <a:extLst>
            <a:ext uri="{FF2B5EF4-FFF2-40B4-BE49-F238E27FC236}">
              <a16:creationId xmlns:a16="http://schemas.microsoft.com/office/drawing/2014/main" id="{68EF9E6C-BBA9-44AB-9328-F6C16E4CAC9F}"/>
            </a:ext>
          </a:extLst>
        </xdr:cNvPr>
        <xdr:cNvSpPr/>
      </xdr:nvSpPr>
      <xdr:spPr>
        <a:xfrm>
          <a:off x="3695659" y="708841"/>
          <a:ext cx="3876921" cy="45066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  <a:latin typeface="Segoe UI" panose="020B0502040204020203" pitchFamily="34" charset="0"/>
              <a:cs typeface="Segoe UI" panose="020B0502040204020203" pitchFamily="34" charset="0"/>
            </a:rPr>
            <a:t>Acompanhamento Financeiro</a:t>
          </a:r>
        </a:p>
      </xdr:txBody>
    </xdr:sp>
    <xdr:clientData/>
  </xdr:twoCellAnchor>
  <xdr:twoCellAnchor>
    <xdr:from>
      <xdr:col>10</xdr:col>
      <xdr:colOff>398721</xdr:colOff>
      <xdr:row>0</xdr:row>
      <xdr:rowOff>409950</xdr:rowOff>
    </xdr:from>
    <xdr:to>
      <xdr:col>19</xdr:col>
      <xdr:colOff>143982</xdr:colOff>
      <xdr:row>0</xdr:row>
      <xdr:rowOff>697950</xdr:rowOff>
    </xdr:to>
    <xdr:sp macro="" textlink="">
      <xdr:nvSpPr>
        <xdr:cNvPr id="47" name="Retângulo 4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699F68-7EF1-4DEF-858B-BEC8EF4F749A}"/>
            </a:ext>
          </a:extLst>
        </xdr:cNvPr>
        <xdr:cNvSpPr/>
      </xdr:nvSpPr>
      <xdr:spPr>
        <a:xfrm>
          <a:off x="7683334" y="409950"/>
          <a:ext cx="5178535" cy="2880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lvl="0" algn="l"/>
          <a:r>
            <a:rPr lang="pt-BR" sz="1100">
              <a:solidFill>
                <a:schemeClr val="bg1">
                  <a:lumMod val="65000"/>
                </a:schemeClr>
              </a:solidFill>
            </a:rPr>
            <a:t>Pesquisar dados...</a:t>
          </a:r>
        </a:p>
      </xdr:txBody>
    </xdr:sp>
    <xdr:clientData/>
  </xdr:twoCellAnchor>
  <xdr:twoCellAnchor>
    <xdr:from>
      <xdr:col>0</xdr:col>
      <xdr:colOff>25488</xdr:colOff>
      <xdr:row>0</xdr:row>
      <xdr:rowOff>40824</xdr:rowOff>
    </xdr:from>
    <xdr:to>
      <xdr:col>0</xdr:col>
      <xdr:colOff>1809748</xdr:colOff>
      <xdr:row>0</xdr:row>
      <xdr:rowOff>510367</xdr:rowOff>
    </xdr:to>
    <xdr:sp macro="" textlink="">
      <xdr:nvSpPr>
        <xdr:cNvPr id="63" name="Retângulo: Cantos Arredondados 62">
          <a:extLst>
            <a:ext uri="{FF2B5EF4-FFF2-40B4-BE49-F238E27FC236}">
              <a16:creationId xmlns:a16="http://schemas.microsoft.com/office/drawing/2014/main" id="{C00DFFC6-45C9-CFCE-7C27-CC2EB80E75E4}"/>
            </a:ext>
          </a:extLst>
        </xdr:cNvPr>
        <xdr:cNvSpPr/>
      </xdr:nvSpPr>
      <xdr:spPr>
        <a:xfrm>
          <a:off x="25488" y="40824"/>
          <a:ext cx="1784260" cy="469543"/>
        </a:xfrm>
        <a:prstGeom prst="roundRect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pt-BR" sz="2200">
              <a:latin typeface="Arial Rounded MT Bold" panose="020F0704030504030204" pitchFamily="34" charset="0"/>
              <a:cs typeface="Segoe UI" panose="020B0502040204020203" pitchFamily="34" charset="0"/>
            </a:rPr>
            <a:t>Money</a:t>
          </a:r>
          <a:r>
            <a:rPr lang="pt-BR" sz="220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2200">
              <a:latin typeface="Arial Rounded MT Bold" panose="020F0704030504030204" pitchFamily="34" charset="0"/>
              <a:cs typeface="Segoe UI" panose="020B0502040204020203" pitchFamily="34" charset="0"/>
            </a:rPr>
            <a:t>App</a:t>
          </a:r>
        </a:p>
      </xdr:txBody>
    </xdr:sp>
    <xdr:clientData/>
  </xdr:twoCellAnchor>
  <xdr:twoCellAnchor>
    <xdr:from>
      <xdr:col>11</xdr:col>
      <xdr:colOff>121193</xdr:colOff>
      <xdr:row>5</xdr:row>
      <xdr:rowOff>0</xdr:rowOff>
    </xdr:from>
    <xdr:to>
      <xdr:col>19</xdr:col>
      <xdr:colOff>143982</xdr:colOff>
      <xdr:row>18</xdr:row>
      <xdr:rowOff>175688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C7010100-56DE-4BB0-D243-A74B8453DA26}"/>
            </a:ext>
          </a:extLst>
        </xdr:cNvPr>
        <xdr:cNvGrpSpPr/>
      </xdr:nvGrpSpPr>
      <xdr:grpSpPr>
        <a:xfrm>
          <a:off x="8094979" y="1632857"/>
          <a:ext cx="4921360" cy="2652188"/>
          <a:chOff x="8065043" y="1628775"/>
          <a:chExt cx="4899589" cy="2652188"/>
        </a:xfrm>
      </xdr:grpSpPr>
      <xdr:grpSp>
        <xdr:nvGrpSpPr>
          <xdr:cNvPr id="64" name="Agrupar 63">
            <a:extLst>
              <a:ext uri="{FF2B5EF4-FFF2-40B4-BE49-F238E27FC236}">
                <a16:creationId xmlns:a16="http://schemas.microsoft.com/office/drawing/2014/main" id="{683ED28A-666A-4A99-BF20-9F892C4851B6}"/>
              </a:ext>
            </a:extLst>
          </xdr:cNvPr>
          <xdr:cNvGrpSpPr/>
        </xdr:nvGrpSpPr>
        <xdr:grpSpPr>
          <a:xfrm>
            <a:off x="8065043" y="1628775"/>
            <a:ext cx="4899589" cy="2652188"/>
            <a:chOff x="1588043" y="432673"/>
            <a:chExt cx="5241381" cy="3325220"/>
          </a:xfrm>
        </xdr:grpSpPr>
        <xdr:grpSp>
          <xdr:nvGrpSpPr>
            <xdr:cNvPr id="67" name="Agrupar 66">
              <a:extLst>
                <a:ext uri="{FF2B5EF4-FFF2-40B4-BE49-F238E27FC236}">
                  <a16:creationId xmlns:a16="http://schemas.microsoft.com/office/drawing/2014/main" id="{1FBD2B94-51C2-BDAB-40F5-D0D054E88FF6}"/>
                </a:ext>
              </a:extLst>
            </xdr:cNvPr>
            <xdr:cNvGrpSpPr/>
          </xdr:nvGrpSpPr>
          <xdr:grpSpPr>
            <a:xfrm>
              <a:off x="1588043" y="485778"/>
              <a:ext cx="5241381" cy="3272115"/>
              <a:chOff x="1702362" y="486021"/>
              <a:chExt cx="4929233" cy="3076631"/>
            </a:xfrm>
          </xdr:grpSpPr>
          <xdr:sp macro="" textlink="">
            <xdr:nvSpPr>
              <xdr:cNvPr id="69" name="Retângulo: Cantos Arredondados 68">
                <a:extLst>
                  <a:ext uri="{FF2B5EF4-FFF2-40B4-BE49-F238E27FC236}">
                    <a16:creationId xmlns:a16="http://schemas.microsoft.com/office/drawing/2014/main" id="{C0AA7756-C644-BC20-8ED4-4C941A7213EE}"/>
                  </a:ext>
                </a:extLst>
              </xdr:cNvPr>
              <xdr:cNvSpPr/>
            </xdr:nvSpPr>
            <xdr:spPr>
              <a:xfrm>
                <a:off x="1718273" y="489856"/>
                <a:ext cx="4911127" cy="3072796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70" name="Retângulo: Cantos Superiores Arredondados 69">
                <a:extLst>
                  <a:ext uri="{FF2B5EF4-FFF2-40B4-BE49-F238E27FC236}">
                    <a16:creationId xmlns:a16="http://schemas.microsoft.com/office/drawing/2014/main" id="{587255F4-447A-A8CF-B362-085DA34B411F}"/>
                  </a:ext>
                </a:extLst>
              </xdr:cNvPr>
              <xdr:cNvSpPr/>
            </xdr:nvSpPr>
            <xdr:spPr>
              <a:xfrm>
                <a:off x="1702362" y="486021"/>
                <a:ext cx="4929233" cy="542812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FB6F5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66" name="CaixaDeTexto 65">
              <a:extLst>
                <a:ext uri="{FF2B5EF4-FFF2-40B4-BE49-F238E27FC236}">
                  <a16:creationId xmlns:a16="http://schemas.microsoft.com/office/drawing/2014/main" id="{4125FBE3-320B-F680-5C10-DCEE062B0865}"/>
                </a:ext>
              </a:extLst>
            </xdr:cNvPr>
            <xdr:cNvSpPr txBox="1"/>
          </xdr:nvSpPr>
          <xdr:spPr>
            <a:xfrm>
              <a:off x="1902000" y="432673"/>
              <a:ext cx="3155615" cy="6654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3200" b="1" i="0" u="none" strike="noStrike" kern="0" cap="none" spc="0" normalizeH="0" baseline="0" noProof="0">
                  <a:ln w="6600">
                    <a:solidFill>
                      <a:srgbClr val="ED7D31"/>
                    </a:solidFill>
                    <a:prstDash val="solid"/>
                  </a:ln>
                  <a:solidFill>
                    <a:srgbClr val="FFFFFF"/>
                  </a:solidFill>
                  <a:effectLst>
                    <a:outerShdw dist="38100" dir="2700000" algn="tl" rotWithShape="0">
                      <a:srgbClr val="ED7D31"/>
                    </a:outerShdw>
                  </a:effectLst>
                  <a:uLnTx/>
                  <a:uFillTx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Economias</a:t>
              </a:r>
              <a:endParaRPr lang="pt-BR" sz="3200">
                <a:effectLst/>
              </a:endParaRPr>
            </a:p>
          </xdr:txBody>
        </xdr:sp>
      </xdr:grpSp>
      <xdr:graphicFrame macro="">
        <xdr:nvGraphicFramePr>
          <xdr:cNvPr id="73" name="Gráfico 72">
            <a:extLst>
              <a:ext uri="{FF2B5EF4-FFF2-40B4-BE49-F238E27FC236}">
                <a16:creationId xmlns:a16="http://schemas.microsoft.com/office/drawing/2014/main" id="{6B54E9A7-C6CA-47B3-8E11-F9D851263DAF}"/>
              </a:ext>
            </a:extLst>
          </xdr:cNvPr>
          <xdr:cNvGraphicFramePr>
            <a:graphicFrameLocks/>
          </xdr:cNvGraphicFramePr>
        </xdr:nvGraphicFramePr>
        <xdr:xfrm>
          <a:off x="8536516" y="2306109"/>
          <a:ext cx="4193116" cy="18158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llan" refreshedDate="45759.492221412038" createdVersion="8" refreshedVersion="8" minRefreshableVersion="3" recordCount="44" xr:uid="{E8525D95-B1ED-4E21-94C8-103639ECE0EA}">
  <cacheSource type="worksheet">
    <worksheetSource name="tbl_operations"/>
  </cacheSource>
  <cacheFields count="8">
    <cacheField name="Data" numFmtId="14">
      <sharedItems containsSemiMixedTypes="0" containsNonDate="0" containsDate="1" containsString="0" minDate="2024-08-01T00:00:00" maxDate="2024-11-01T00:00:00" count="39">
        <d v="2024-08-01T00:00:00"/>
        <d v="2024-08-03T00:00:00"/>
        <d v="2024-08-05T00:00:00"/>
        <d v="2024-08-07T00:00:00"/>
        <d v="2024-08-10T00:00:00"/>
        <d v="2024-08-12T00:00:00"/>
        <d v="2024-08-15T00:00:00"/>
        <d v="2024-08-18T00:00:00"/>
        <d v="2024-08-20T00:00:00"/>
        <d v="2024-08-22T00:00:00"/>
        <d v="2024-08-24T00:00:00"/>
        <d v="2024-08-28T00:00:00"/>
        <d v="2024-08-30T00:00:00"/>
        <d v="2024-08-31T00:00:00"/>
        <d v="2024-09-01T00:00:00"/>
        <d v="2024-09-02T00:00:00"/>
        <d v="2024-09-05T00:00:00"/>
        <d v="2024-09-08T00:00:00"/>
        <d v="2024-09-11T00:00:00"/>
        <d v="2024-09-14T00:00:00"/>
        <d v="2024-09-17T00:00:00"/>
        <d v="2024-09-20T00:00:00"/>
        <d v="2024-09-23T00:00:00"/>
        <d v="2024-09-26T00:00:00"/>
        <d v="2024-09-29T00:00:00"/>
        <d v="2024-10-01T00:00:00"/>
        <d v="2024-10-03T00:00:00"/>
        <d v="2024-10-05T00:00:00"/>
        <d v="2024-10-08T00:00:00"/>
        <d v="2024-10-10T00:00:00"/>
        <d v="2024-10-13T00:00:00"/>
        <d v="2024-10-15T00:00:00"/>
        <d v="2024-10-18T00:00:00"/>
        <d v="2024-10-20T00:00:00"/>
        <d v="2024-10-22T00:00:00"/>
        <d v="2024-10-24T00:00:00"/>
        <d v="2024-10-26T00:00:00"/>
        <d v="2024-10-30T00:00:00"/>
        <d v="2024-10-31T00:00:00"/>
      </sharedItems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1590014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s v="Salário mensal"/>
    <n v="5000"/>
    <s v="Transferência"/>
    <s v="Recebido"/>
  </r>
  <r>
    <x v="0"/>
    <x v="0"/>
    <x v="1"/>
    <x v="1"/>
    <s v="Compras no supermercado"/>
    <n v="550"/>
    <s v="Débito Automático"/>
    <s v="Pendente"/>
  </r>
  <r>
    <x v="1"/>
    <x v="0"/>
    <x v="1"/>
    <x v="2"/>
    <s v="Gasolina"/>
    <n v="300"/>
    <s v="Cartão de Crédito"/>
    <s v="Pago"/>
  </r>
  <r>
    <x v="2"/>
    <x v="0"/>
    <x v="1"/>
    <x v="3"/>
    <s v="Cinema"/>
    <n v="120"/>
    <s v="Cartão de Crédito"/>
    <s v="Pago"/>
  </r>
  <r>
    <x v="3"/>
    <x v="0"/>
    <x v="1"/>
    <x v="4"/>
    <s v="Consulta odontológica"/>
    <n v="250"/>
    <s v="Transferência"/>
    <s v="Pago"/>
  </r>
  <r>
    <x v="4"/>
    <x v="0"/>
    <x v="1"/>
    <x v="5"/>
    <s v="Material escolar"/>
    <n v="400"/>
    <s v="Débito Automático"/>
    <s v="Pendente"/>
  </r>
  <r>
    <x v="5"/>
    <x v="0"/>
    <x v="1"/>
    <x v="6"/>
    <s v="Compra de roupas de inverno"/>
    <n v="600"/>
    <s v="Cartão de Crédito"/>
    <s v="Pendente"/>
  </r>
  <r>
    <x v="6"/>
    <x v="0"/>
    <x v="0"/>
    <x v="7"/>
    <s v="Dividendos de ações"/>
    <n v="800"/>
    <s v="Transferência"/>
    <s v="Recebido"/>
  </r>
  <r>
    <x v="6"/>
    <x v="0"/>
    <x v="1"/>
    <x v="8"/>
    <s v="Limpeza do apartamento"/>
    <n v="150"/>
    <s v="Transferência"/>
    <s v="Pago"/>
  </r>
  <r>
    <x v="7"/>
    <x v="0"/>
    <x v="1"/>
    <x v="9"/>
    <s v="Compra de novo celular"/>
    <n v="1200"/>
    <s v="Cartão de Crédito"/>
    <s v="Pendente"/>
  </r>
  <r>
    <x v="8"/>
    <x v="0"/>
    <x v="1"/>
    <x v="10"/>
    <s v="Reparos domésticos"/>
    <n v="450"/>
    <s v="Débito Automático"/>
    <s v="Pago"/>
  </r>
  <r>
    <x v="9"/>
    <x v="0"/>
    <x v="1"/>
    <x v="11"/>
    <s v="Presente de aniversário"/>
    <n v="180"/>
    <s v="Transferência"/>
    <s v="Pendente"/>
  </r>
  <r>
    <x v="10"/>
    <x v="0"/>
    <x v="1"/>
    <x v="12"/>
    <s v="Corte de cabelo e barba"/>
    <n v="80"/>
    <s v="Débito Automático"/>
    <s v="Pago"/>
  </r>
  <r>
    <x v="11"/>
    <x v="0"/>
    <x v="1"/>
    <x v="13"/>
    <s v="Ração e petiscos para o cachorro"/>
    <n v="200"/>
    <s v="Débito Automático"/>
    <s v="Pago"/>
  </r>
  <r>
    <x v="12"/>
    <x v="0"/>
    <x v="1"/>
    <x v="14"/>
    <s v="Reserva de pousada"/>
    <n v="750"/>
    <s v="Transferência"/>
    <s v="Pendente"/>
  </r>
  <r>
    <x v="13"/>
    <x v="0"/>
    <x v="1"/>
    <x v="15"/>
    <s v="Jantar em restaurante francês"/>
    <n v="350"/>
    <s v="Cartão de Crédito"/>
    <s v="Pago"/>
  </r>
  <r>
    <x v="14"/>
    <x v="1"/>
    <x v="0"/>
    <x v="0"/>
    <s v="Salário mensal"/>
    <n v="5000"/>
    <s v="Transferência"/>
    <s v="Recebido"/>
  </r>
  <r>
    <x v="15"/>
    <x v="1"/>
    <x v="1"/>
    <x v="1"/>
    <s v="Compras no supermercado"/>
    <n v="450"/>
    <s v="Débito Automático"/>
    <s v="Pendente"/>
  </r>
  <r>
    <x v="16"/>
    <x v="1"/>
    <x v="1"/>
    <x v="2"/>
    <s v="Gasolina"/>
    <n v="300"/>
    <s v="Débito Automático"/>
    <s v="Pago"/>
  </r>
  <r>
    <x v="17"/>
    <x v="1"/>
    <x v="1"/>
    <x v="3"/>
    <s v="Cinema e jantar"/>
    <n v="200"/>
    <s v="Transferência"/>
    <s v="Pago"/>
  </r>
  <r>
    <x v="18"/>
    <x v="1"/>
    <x v="1"/>
    <x v="4"/>
    <s v="Plano de saúde"/>
    <n v="600"/>
    <s v="Débito Automático"/>
    <s v="Pendente"/>
  </r>
  <r>
    <x v="19"/>
    <x v="1"/>
    <x v="1"/>
    <x v="5"/>
    <s v="Material escolar"/>
    <n v="350"/>
    <s v="Transferência"/>
    <s v="Pago"/>
  </r>
  <r>
    <x v="20"/>
    <x v="1"/>
    <x v="1"/>
    <x v="6"/>
    <s v="Compra de roupas"/>
    <n v="500"/>
    <s v="Cartão de Crédito"/>
    <s v="Pendente"/>
  </r>
  <r>
    <x v="21"/>
    <x v="1"/>
    <x v="0"/>
    <x v="16"/>
    <s v="Pagamento por projeto freelancer"/>
    <n v="1200"/>
    <s v="Transferência"/>
    <s v="Recebido"/>
  </r>
  <r>
    <x v="21"/>
    <x v="1"/>
    <x v="1"/>
    <x v="8"/>
    <s v="Manutenção do veículo"/>
    <n v="800"/>
    <s v="Transferência"/>
    <s v="Pago"/>
  </r>
  <r>
    <x v="22"/>
    <x v="1"/>
    <x v="1"/>
    <x v="9"/>
    <s v="Compra de novo smartphone"/>
    <n v="1500"/>
    <s v="Cartão de Crédito"/>
    <s v="Pendente"/>
  </r>
  <r>
    <x v="23"/>
    <x v="1"/>
    <x v="1"/>
    <x v="17"/>
    <s v="Conta de energia elétrica"/>
    <n v="250"/>
    <s v="Débito Automático"/>
    <s v="Pago"/>
  </r>
  <r>
    <x v="24"/>
    <x v="1"/>
    <x v="1"/>
    <x v="11"/>
    <s v="Aniversário da mãe"/>
    <n v="400"/>
    <s v="Cartão de Crédito"/>
    <s v="Pendente"/>
  </r>
  <r>
    <x v="25"/>
    <x v="2"/>
    <x v="0"/>
    <x v="0"/>
    <s v="Salário mensal"/>
    <n v="5000"/>
    <s v="Transferência"/>
    <s v="Recebido"/>
  </r>
  <r>
    <x v="25"/>
    <x v="2"/>
    <x v="1"/>
    <x v="1"/>
    <s v="Compras no supermercado"/>
    <n v="600"/>
    <s v="Débito Automático"/>
    <s v="Pendente"/>
  </r>
  <r>
    <x v="26"/>
    <x v="2"/>
    <x v="1"/>
    <x v="2"/>
    <s v="Recarga de cartão de transporte"/>
    <n v="200"/>
    <s v="Cartão de Crédito"/>
    <s v="Pago"/>
  </r>
  <r>
    <x v="27"/>
    <x v="2"/>
    <x v="1"/>
    <x v="3"/>
    <s v="Ingressos para teatro"/>
    <n v="180"/>
    <s v="Transferência"/>
    <s v="Pago"/>
  </r>
  <r>
    <x v="28"/>
    <x v="2"/>
    <x v="1"/>
    <x v="4"/>
    <s v="Remédios de farmácia"/>
    <n v="120"/>
    <s v="Débito Automático"/>
    <s v="Pendente"/>
  </r>
  <r>
    <x v="29"/>
    <x v="2"/>
    <x v="1"/>
    <x v="5"/>
    <s v="Cursos online"/>
    <n v="350"/>
    <s v="Cartão de Crédito"/>
    <s v="Pendente"/>
  </r>
  <r>
    <x v="30"/>
    <x v="2"/>
    <x v="1"/>
    <x v="6"/>
    <s v="Roupas de primavera"/>
    <n v="400"/>
    <s v="Transferência"/>
    <s v="Pago"/>
  </r>
  <r>
    <x v="31"/>
    <x v="2"/>
    <x v="1"/>
    <x v="8"/>
    <s v="Manutenção da casa"/>
    <n v="450"/>
    <s v="Débito Automático"/>
    <s v="Pago"/>
  </r>
  <r>
    <x v="32"/>
    <x v="2"/>
    <x v="0"/>
    <x v="18"/>
    <s v="Venda de equipamentos eletrônicos"/>
    <n v="1500"/>
    <s v="Transferência"/>
    <s v="Recebido"/>
  </r>
  <r>
    <x v="32"/>
    <x v="2"/>
    <x v="1"/>
    <x v="9"/>
    <s v="Manutenção do computador"/>
    <n v="300"/>
    <s v="Cartão de Crédito"/>
    <s v="Pendente"/>
  </r>
  <r>
    <x v="33"/>
    <x v="2"/>
    <x v="1"/>
    <x v="10"/>
    <s v="Troca de móveis da cozinha"/>
    <n v="800"/>
    <s v="Transferência"/>
    <s v="Pago"/>
  </r>
  <r>
    <x v="34"/>
    <x v="2"/>
    <x v="1"/>
    <x v="11"/>
    <s v="Presentes para casamento"/>
    <n v="250"/>
    <s v="Cartão de Crédito"/>
    <s v="Pendente"/>
  </r>
  <r>
    <x v="35"/>
    <x v="2"/>
    <x v="1"/>
    <x v="13"/>
    <s v="Veterinário para o pet"/>
    <n v="150"/>
    <s v="Débito Automático"/>
    <s v="Pago"/>
  </r>
  <r>
    <x v="36"/>
    <x v="2"/>
    <x v="1"/>
    <x v="12"/>
    <s v="Salão de beleza"/>
    <n v="250"/>
    <s v="Transferência"/>
    <s v="Pendente"/>
  </r>
  <r>
    <x v="37"/>
    <x v="2"/>
    <x v="1"/>
    <x v="15"/>
    <s v="Jantar em restaurante italiano"/>
    <n v="220"/>
    <s v="Transferência"/>
    <s v="Pendente"/>
  </r>
  <r>
    <x v="38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95FD8-EFD9-4269-9630-95328B129A2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>
  <location ref="F3:G6" firstHeaderRow="1" firstDataRow="1" firstDataCol="1" rowPageCount="1" colPageCount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3">
    <i>
      <x v="6"/>
    </i>
    <i>
      <x v="10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44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91207-B702-4FB0-A15E-0384A7C6905E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5">
  <location ref="C3:D17" firstHeaderRow="1" firstDataRow="1" firstDataCol="1" rowPageCount="1" colPageCount="1"/>
  <pivotFields count="8"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umFmtId="1" showAll="0">
      <items count="4">
        <item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h="1"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5"/>
    </i>
    <i>
      <x v="7"/>
    </i>
    <i>
      <x v="8"/>
    </i>
    <i>
      <x v="11"/>
    </i>
    <i>
      <x v="12"/>
    </i>
    <i>
      <x v="13"/>
    </i>
    <i>
      <x v="15"/>
    </i>
    <i>
      <x v="17"/>
    </i>
    <i>
      <x v="18"/>
    </i>
    <i t="grand">
      <x/>
    </i>
  </rowItems>
  <colItems count="1">
    <i/>
  </colItems>
  <pageFields count="1">
    <pageField fld="2" item="1" hier="-1"/>
  </pageFields>
  <dataFields count="1">
    <dataField name="Soma de Valor" fld="5" baseField="6" baseItem="0" numFmtId="44"/>
  </dataFields>
  <chartFormats count="16">
    <chartFormat chart="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9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9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9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9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9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9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9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" name="Data">
      <autoFilter ref="A1">
        <filterColumn colId="0">
          <customFilters and="1">
            <customFilter operator="greaterThanOrEqual" val="45505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A296DDBE-BD90-4FE9-A7C1-D0440E37547D}" sourceName="Mês">
  <pivotTables>
    <pivotTable tabId="3" name="Tabela dinâmica1"/>
    <pivotTable tabId="3" name="Tabela dinâmica2"/>
  </pivotTables>
  <data>
    <tabular pivotCacheId="1159001435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3D8C5D3C-C2E3-4C4B-96E1-C96BE1B9FA14}" cache="SegmentaçãodeDados_Mês" caption="MÊS" style="mystyl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888395-850E-4C0E-B789-1F327C992534}" name="tbl_operations" displayName="tbl_operations" ref="A1:H45" totalsRowShown="0" dataDxfId="12">
  <autoFilter ref="A1:H45" xr:uid="{60888395-850E-4C0E-B789-1F327C992534}"/>
  <tableColumns count="8">
    <tableColumn id="1" xr3:uid="{FDDF3255-0767-47F5-93D5-C5BEEB0E7647}" name="Data" dataDxfId="11"/>
    <tableColumn id="8" xr3:uid="{B77E645A-EF38-4B31-B38B-3909E2E906A4}" name="Mês" dataDxfId="10">
      <calculatedColumnFormula>MONTH(tbl_operations[[#This Row],[Data]])</calculatedColumnFormula>
    </tableColumn>
    <tableColumn id="2" xr3:uid="{3F4B02EB-93D7-4D4B-AD08-D59A1595ACDC}" name="Tipo" dataDxfId="9"/>
    <tableColumn id="3" xr3:uid="{EB258334-7644-4EC9-892F-DC562F84EAA9}" name="Categoria" dataDxfId="8"/>
    <tableColumn id="4" xr3:uid="{44ED1017-5009-47A3-8FF0-A24B3BD66482}" name="Descrição" dataDxfId="7"/>
    <tableColumn id="5" xr3:uid="{1299A58C-4EA5-4B2F-9A65-C4A0498CDDC9}" name="Valor" dataDxfId="6" dataCellStyle="Moeda"/>
    <tableColumn id="6" xr3:uid="{DEE7B805-B920-4E74-9FC7-C0E5C621D849}" name="Operação Bancária" dataDxfId="5"/>
    <tableColumn id="7" xr3:uid="{842C494C-EAC5-4BFB-8C33-FB195F9208BE}" name="Status" dataDxfId="4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F8B25-92D6-40BD-9E32-86D61191659D}" name="Tabela2" displayName="Tabela2" ref="C6:D16" totalsRowShown="0" headerRowDxfId="3" dataDxfId="2">
  <autoFilter ref="C6:D16" xr:uid="{4BFF8B25-92D6-40BD-9E32-86D61191659D}"/>
  <tableColumns count="2">
    <tableColumn id="1" xr3:uid="{A0053907-7A57-41F5-811E-83642D14AE83}" name="Data de Lançamento" dataDxfId="1"/>
    <tableColumn id="2" xr3:uid="{0E85A1DD-C7E1-4518-A67F-CFA445397416}" name="Depósito Reservado" dataDxfId="0" dataCellStyle="Moed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529753-E3AC-4EF1-AE95-7745380DC434}">
  <we:reference id="wa200005271" version="2.5.5.0" store="pt-BR" storeType="OMEX"/>
  <we:alternateReferences>
    <we:reference id="wa200005271" version="2.5.5.0" store="pt-BR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0E02-BF40-4292-8B3B-288FE17871CB}">
  <sheetPr>
    <tabColor rgb="FF00B0F0"/>
  </sheetPr>
  <dimension ref="A1:H45"/>
  <sheetViews>
    <sheetView workbookViewId="0">
      <selection activeCell="D14" sqref="D14"/>
    </sheetView>
  </sheetViews>
  <sheetFormatPr defaultColWidth="39" defaultRowHeight="15" x14ac:dyDescent="0.25"/>
  <cols>
    <col min="1" max="1" width="10.7109375" style="4" bestFit="1" customWidth="1"/>
    <col min="2" max="2" width="10.7109375" style="10" bestFit="1" customWidth="1"/>
    <col min="3" max="3" width="20.85546875" bestFit="1" customWidth="1"/>
    <col min="4" max="4" width="34.42578125" bestFit="1" customWidth="1"/>
    <col min="5" max="5" width="31.85546875" customWidth="1"/>
    <col min="6" max="6" width="19.85546875" bestFit="1" customWidth="1"/>
    <col min="7" max="7" width="22.42578125" customWidth="1"/>
  </cols>
  <sheetData>
    <row r="1" spans="1:8" x14ac:dyDescent="0.25">
      <c r="A1" s="4" t="s">
        <v>0</v>
      </c>
      <c r="B1" s="10" t="s">
        <v>75</v>
      </c>
      <c r="C1" t="s">
        <v>1</v>
      </c>
      <c r="D1" t="s">
        <v>4</v>
      </c>
      <c r="E1" t="s">
        <v>2</v>
      </c>
      <c r="F1" t="s">
        <v>3</v>
      </c>
      <c r="G1" t="s">
        <v>5</v>
      </c>
      <c r="H1" t="s">
        <v>6</v>
      </c>
    </row>
    <row r="2" spans="1:8" x14ac:dyDescent="0.25">
      <c r="A2" s="1">
        <v>45505</v>
      </c>
      <c r="B2" s="9">
        <f>MONTH(tbl_operations[[#This Row],[Data]])</f>
        <v>8</v>
      </c>
      <c r="C2" s="2" t="s">
        <v>7</v>
      </c>
      <c r="D2" s="2" t="s">
        <v>8</v>
      </c>
      <c r="E2" s="2" t="s">
        <v>9</v>
      </c>
      <c r="F2" s="3">
        <v>5000</v>
      </c>
      <c r="G2" s="2" t="s">
        <v>10</v>
      </c>
      <c r="H2" s="2" t="s">
        <v>11</v>
      </c>
    </row>
    <row r="3" spans="1:8" x14ac:dyDescent="0.25">
      <c r="A3" s="1">
        <v>45505</v>
      </c>
      <c r="B3" s="9">
        <f>MONTH(tbl_operations[[#This Row],[Data]])</f>
        <v>8</v>
      </c>
      <c r="C3" s="2" t="s">
        <v>12</v>
      </c>
      <c r="D3" s="2" t="s">
        <v>13</v>
      </c>
      <c r="E3" s="2" t="s">
        <v>14</v>
      </c>
      <c r="F3" s="3">
        <v>550</v>
      </c>
      <c r="G3" s="2" t="s">
        <v>15</v>
      </c>
      <c r="H3" s="2" t="s">
        <v>16</v>
      </c>
    </row>
    <row r="4" spans="1:8" x14ac:dyDescent="0.25">
      <c r="A4" s="1">
        <v>45507</v>
      </c>
      <c r="B4" s="9">
        <f>MONTH(tbl_operations[[#This Row],[Data]])</f>
        <v>8</v>
      </c>
      <c r="C4" s="2" t="s">
        <v>12</v>
      </c>
      <c r="D4" s="2" t="s">
        <v>17</v>
      </c>
      <c r="E4" s="2" t="s">
        <v>18</v>
      </c>
      <c r="F4" s="3">
        <v>300</v>
      </c>
      <c r="G4" s="2" t="s">
        <v>19</v>
      </c>
      <c r="H4" s="2" t="s">
        <v>20</v>
      </c>
    </row>
    <row r="5" spans="1:8" x14ac:dyDescent="0.25">
      <c r="A5" s="1">
        <v>45509</v>
      </c>
      <c r="B5" s="9">
        <f>MONTH(tbl_operations[[#This Row],[Data]])</f>
        <v>8</v>
      </c>
      <c r="C5" s="2" t="s">
        <v>12</v>
      </c>
      <c r="D5" s="2" t="s">
        <v>21</v>
      </c>
      <c r="E5" s="2" t="s">
        <v>22</v>
      </c>
      <c r="F5" s="3">
        <v>120</v>
      </c>
      <c r="G5" s="2" t="s">
        <v>19</v>
      </c>
      <c r="H5" s="2" t="s">
        <v>20</v>
      </c>
    </row>
    <row r="6" spans="1:8" x14ac:dyDescent="0.25">
      <c r="A6" s="1">
        <v>45511</v>
      </c>
      <c r="B6" s="9">
        <f>MONTH(tbl_operations[[#This Row],[Data]])</f>
        <v>8</v>
      </c>
      <c r="C6" s="2" t="s">
        <v>12</v>
      </c>
      <c r="D6" s="2" t="s">
        <v>23</v>
      </c>
      <c r="E6" s="2" t="s">
        <v>24</v>
      </c>
      <c r="F6" s="3">
        <v>250</v>
      </c>
      <c r="G6" s="2" t="s">
        <v>10</v>
      </c>
      <c r="H6" s="2" t="s">
        <v>20</v>
      </c>
    </row>
    <row r="7" spans="1:8" x14ac:dyDescent="0.25">
      <c r="A7" s="1">
        <v>45514</v>
      </c>
      <c r="B7" s="9">
        <f>MONTH(tbl_operations[[#This Row],[Data]])</f>
        <v>8</v>
      </c>
      <c r="C7" s="2" t="s">
        <v>12</v>
      </c>
      <c r="D7" s="2" t="s">
        <v>25</v>
      </c>
      <c r="E7" s="2" t="s">
        <v>26</v>
      </c>
      <c r="F7" s="3">
        <v>400</v>
      </c>
      <c r="G7" s="2" t="s">
        <v>15</v>
      </c>
      <c r="H7" s="2" t="s">
        <v>16</v>
      </c>
    </row>
    <row r="8" spans="1:8" x14ac:dyDescent="0.25">
      <c r="A8" s="1">
        <v>45516</v>
      </c>
      <c r="B8" s="9">
        <f>MONTH(tbl_operations[[#This Row],[Data]])</f>
        <v>8</v>
      </c>
      <c r="C8" s="2" t="s">
        <v>12</v>
      </c>
      <c r="D8" s="2" t="s">
        <v>27</v>
      </c>
      <c r="E8" s="2" t="s">
        <v>28</v>
      </c>
      <c r="F8" s="3">
        <v>600</v>
      </c>
      <c r="G8" s="2" t="s">
        <v>19</v>
      </c>
      <c r="H8" s="2" t="s">
        <v>16</v>
      </c>
    </row>
    <row r="9" spans="1:8" x14ac:dyDescent="0.25">
      <c r="A9" s="1">
        <v>45519</v>
      </c>
      <c r="B9" s="9">
        <f>MONTH(tbl_operations[[#This Row],[Data]])</f>
        <v>8</v>
      </c>
      <c r="C9" s="2" t="s">
        <v>7</v>
      </c>
      <c r="D9" s="2" t="s">
        <v>29</v>
      </c>
      <c r="E9" s="2" t="s">
        <v>30</v>
      </c>
      <c r="F9" s="3">
        <v>800</v>
      </c>
      <c r="G9" s="2" t="s">
        <v>10</v>
      </c>
      <c r="H9" s="2" t="s">
        <v>11</v>
      </c>
    </row>
    <row r="10" spans="1:8" x14ac:dyDescent="0.25">
      <c r="A10" s="1">
        <v>45519</v>
      </c>
      <c r="B10" s="9">
        <f>MONTH(tbl_operations[[#This Row],[Data]])</f>
        <v>8</v>
      </c>
      <c r="C10" s="2" t="s">
        <v>12</v>
      </c>
      <c r="D10" s="2" t="s">
        <v>31</v>
      </c>
      <c r="E10" s="2" t="s">
        <v>32</v>
      </c>
      <c r="F10" s="3">
        <v>150</v>
      </c>
      <c r="G10" s="2" t="s">
        <v>10</v>
      </c>
      <c r="H10" s="2" t="s">
        <v>20</v>
      </c>
    </row>
    <row r="11" spans="1:8" x14ac:dyDescent="0.25">
      <c r="A11" s="1">
        <v>45522</v>
      </c>
      <c r="B11" s="9">
        <f>MONTH(tbl_operations[[#This Row],[Data]])</f>
        <v>8</v>
      </c>
      <c r="C11" s="2" t="s">
        <v>12</v>
      </c>
      <c r="D11" s="2" t="s">
        <v>33</v>
      </c>
      <c r="E11" s="2" t="s">
        <v>34</v>
      </c>
      <c r="F11" s="3">
        <v>1200</v>
      </c>
      <c r="G11" s="2" t="s">
        <v>19</v>
      </c>
      <c r="H11" s="2" t="s">
        <v>16</v>
      </c>
    </row>
    <row r="12" spans="1:8" x14ac:dyDescent="0.25">
      <c r="A12" s="1">
        <v>45524</v>
      </c>
      <c r="B12" s="9">
        <f>MONTH(tbl_operations[[#This Row],[Data]])</f>
        <v>8</v>
      </c>
      <c r="C12" s="2" t="s">
        <v>12</v>
      </c>
      <c r="D12" s="2" t="s">
        <v>35</v>
      </c>
      <c r="E12" s="2" t="s">
        <v>36</v>
      </c>
      <c r="F12" s="3">
        <v>450</v>
      </c>
      <c r="G12" s="2" t="s">
        <v>15</v>
      </c>
      <c r="H12" s="2" t="s">
        <v>20</v>
      </c>
    </row>
    <row r="13" spans="1:8" x14ac:dyDescent="0.25">
      <c r="A13" s="1">
        <v>45526</v>
      </c>
      <c r="B13" s="9">
        <f>MONTH(tbl_operations[[#This Row],[Data]])</f>
        <v>8</v>
      </c>
      <c r="C13" s="2" t="s">
        <v>12</v>
      </c>
      <c r="D13" s="2" t="s">
        <v>37</v>
      </c>
      <c r="E13" s="2" t="s">
        <v>38</v>
      </c>
      <c r="F13" s="3">
        <v>180</v>
      </c>
      <c r="G13" s="2" t="s">
        <v>10</v>
      </c>
      <c r="H13" s="2" t="s">
        <v>16</v>
      </c>
    </row>
    <row r="14" spans="1:8" x14ac:dyDescent="0.25">
      <c r="A14" s="1">
        <v>45528</v>
      </c>
      <c r="B14" s="9">
        <f>MONTH(tbl_operations[[#This Row],[Data]])</f>
        <v>8</v>
      </c>
      <c r="C14" s="2" t="s">
        <v>12</v>
      </c>
      <c r="D14" s="2" t="s">
        <v>39</v>
      </c>
      <c r="E14" s="2" t="s">
        <v>40</v>
      </c>
      <c r="F14" s="3">
        <v>80</v>
      </c>
      <c r="G14" s="2" t="s">
        <v>15</v>
      </c>
      <c r="H14" s="2" t="s">
        <v>20</v>
      </c>
    </row>
    <row r="15" spans="1:8" x14ac:dyDescent="0.25">
      <c r="A15" s="1">
        <v>45532</v>
      </c>
      <c r="B15" s="9">
        <f>MONTH(tbl_operations[[#This Row],[Data]])</f>
        <v>8</v>
      </c>
      <c r="C15" s="2" t="s">
        <v>12</v>
      </c>
      <c r="D15" s="2" t="s">
        <v>41</v>
      </c>
      <c r="E15" s="2" t="s">
        <v>42</v>
      </c>
      <c r="F15" s="3">
        <v>200</v>
      </c>
      <c r="G15" s="2" t="s">
        <v>15</v>
      </c>
      <c r="H15" s="2" t="s">
        <v>20</v>
      </c>
    </row>
    <row r="16" spans="1:8" x14ac:dyDescent="0.25">
      <c r="A16" s="1">
        <v>45534</v>
      </c>
      <c r="B16" s="9">
        <f>MONTH(tbl_operations[[#This Row],[Data]])</f>
        <v>8</v>
      </c>
      <c r="C16" s="2" t="s">
        <v>12</v>
      </c>
      <c r="D16" s="2" t="s">
        <v>43</v>
      </c>
      <c r="E16" s="2" t="s">
        <v>44</v>
      </c>
      <c r="F16" s="3">
        <v>750</v>
      </c>
      <c r="G16" s="2" t="s">
        <v>10</v>
      </c>
      <c r="H16" s="2" t="s">
        <v>16</v>
      </c>
    </row>
    <row r="17" spans="1:8" x14ac:dyDescent="0.25">
      <c r="A17" s="1">
        <v>45535</v>
      </c>
      <c r="B17" s="9">
        <f>MONTH(tbl_operations[[#This Row],[Data]])</f>
        <v>8</v>
      </c>
      <c r="C17" s="2" t="s">
        <v>12</v>
      </c>
      <c r="D17" s="2" t="s">
        <v>45</v>
      </c>
      <c r="E17" s="2" t="s">
        <v>46</v>
      </c>
      <c r="F17" s="3">
        <v>350</v>
      </c>
      <c r="G17" s="2" t="s">
        <v>19</v>
      </c>
      <c r="H17" s="2" t="s">
        <v>20</v>
      </c>
    </row>
    <row r="18" spans="1:8" x14ac:dyDescent="0.25">
      <c r="A18" s="1">
        <v>45536</v>
      </c>
      <c r="B18" s="9">
        <f>MONTH(tbl_operations[[#This Row],[Data]])</f>
        <v>9</v>
      </c>
      <c r="C18" s="2" t="s">
        <v>7</v>
      </c>
      <c r="D18" s="2" t="s">
        <v>8</v>
      </c>
      <c r="E18" s="2" t="s">
        <v>9</v>
      </c>
      <c r="F18" s="3">
        <v>5000</v>
      </c>
      <c r="G18" s="2" t="s">
        <v>10</v>
      </c>
      <c r="H18" s="2" t="s">
        <v>11</v>
      </c>
    </row>
    <row r="19" spans="1:8" x14ac:dyDescent="0.25">
      <c r="A19" s="1">
        <v>45537</v>
      </c>
      <c r="B19" s="9">
        <f>MONTH(tbl_operations[[#This Row],[Data]])</f>
        <v>9</v>
      </c>
      <c r="C19" s="2" t="s">
        <v>12</v>
      </c>
      <c r="D19" s="2" t="s">
        <v>13</v>
      </c>
      <c r="E19" s="3" t="s">
        <v>14</v>
      </c>
      <c r="F19" s="3">
        <v>450</v>
      </c>
      <c r="G19" s="2" t="s">
        <v>15</v>
      </c>
      <c r="H19" s="2" t="s">
        <v>16</v>
      </c>
    </row>
    <row r="20" spans="1:8" x14ac:dyDescent="0.25">
      <c r="A20" s="1">
        <v>45540</v>
      </c>
      <c r="B20" s="9">
        <f>MONTH(tbl_operations[[#This Row],[Data]])</f>
        <v>9</v>
      </c>
      <c r="C20" s="2" t="s">
        <v>12</v>
      </c>
      <c r="D20" s="2" t="s">
        <v>17</v>
      </c>
      <c r="E20" s="3" t="s">
        <v>18</v>
      </c>
      <c r="F20" s="3">
        <v>300</v>
      </c>
      <c r="G20" s="2" t="s">
        <v>15</v>
      </c>
      <c r="H20" s="2" t="s">
        <v>20</v>
      </c>
    </row>
    <row r="21" spans="1:8" x14ac:dyDescent="0.25">
      <c r="A21" s="1">
        <v>45543</v>
      </c>
      <c r="B21" s="9">
        <f>MONTH(tbl_operations[[#This Row],[Data]])</f>
        <v>9</v>
      </c>
      <c r="C21" s="2" t="s">
        <v>12</v>
      </c>
      <c r="D21" s="2" t="s">
        <v>21</v>
      </c>
      <c r="E21" s="3" t="s">
        <v>47</v>
      </c>
      <c r="F21" s="3">
        <v>200</v>
      </c>
      <c r="G21" s="2" t="s">
        <v>10</v>
      </c>
      <c r="H21" s="2" t="s">
        <v>20</v>
      </c>
    </row>
    <row r="22" spans="1:8" x14ac:dyDescent="0.25">
      <c r="A22" s="1">
        <v>45546</v>
      </c>
      <c r="B22" s="9">
        <f>MONTH(tbl_operations[[#This Row],[Data]])</f>
        <v>9</v>
      </c>
      <c r="C22" s="2" t="s">
        <v>12</v>
      </c>
      <c r="D22" s="2" t="s">
        <v>23</v>
      </c>
      <c r="E22" s="3" t="s">
        <v>48</v>
      </c>
      <c r="F22" s="3">
        <v>600</v>
      </c>
      <c r="G22" s="2" t="s">
        <v>15</v>
      </c>
      <c r="H22" s="2" t="s">
        <v>16</v>
      </c>
    </row>
    <row r="23" spans="1:8" x14ac:dyDescent="0.25">
      <c r="A23" s="1">
        <v>45549</v>
      </c>
      <c r="B23" s="9">
        <f>MONTH(tbl_operations[[#This Row],[Data]])</f>
        <v>9</v>
      </c>
      <c r="C23" s="2" t="s">
        <v>12</v>
      </c>
      <c r="D23" s="2" t="s">
        <v>25</v>
      </c>
      <c r="E23" s="3" t="s">
        <v>26</v>
      </c>
      <c r="F23" s="3">
        <v>350</v>
      </c>
      <c r="G23" s="2" t="s">
        <v>10</v>
      </c>
      <c r="H23" s="2" t="s">
        <v>20</v>
      </c>
    </row>
    <row r="24" spans="1:8" x14ac:dyDescent="0.25">
      <c r="A24" s="1">
        <v>45552</v>
      </c>
      <c r="B24" s="9">
        <f>MONTH(tbl_operations[[#This Row],[Data]])</f>
        <v>9</v>
      </c>
      <c r="C24" s="2" t="s">
        <v>12</v>
      </c>
      <c r="D24" s="2" t="s">
        <v>27</v>
      </c>
      <c r="E24" s="3" t="s">
        <v>49</v>
      </c>
      <c r="F24" s="3">
        <v>500</v>
      </c>
      <c r="G24" s="2" t="s">
        <v>19</v>
      </c>
      <c r="H24" s="2" t="s">
        <v>16</v>
      </c>
    </row>
    <row r="25" spans="1:8" x14ac:dyDescent="0.25">
      <c r="A25" s="1">
        <v>45555</v>
      </c>
      <c r="B25" s="9">
        <f>MONTH(tbl_operations[[#This Row],[Data]])</f>
        <v>9</v>
      </c>
      <c r="C25" s="2" t="s">
        <v>7</v>
      </c>
      <c r="D25" s="2" t="s">
        <v>50</v>
      </c>
      <c r="E25" s="2" t="s">
        <v>51</v>
      </c>
      <c r="F25" s="3">
        <v>1200</v>
      </c>
      <c r="G25" s="2" t="s">
        <v>10</v>
      </c>
      <c r="H25" s="2" t="s">
        <v>11</v>
      </c>
    </row>
    <row r="26" spans="1:8" x14ac:dyDescent="0.25">
      <c r="A26" s="1">
        <v>45555</v>
      </c>
      <c r="B26" s="9">
        <f>MONTH(tbl_operations[[#This Row],[Data]])</f>
        <v>9</v>
      </c>
      <c r="C26" s="2" t="s">
        <v>12</v>
      </c>
      <c r="D26" s="2" t="s">
        <v>31</v>
      </c>
      <c r="E26" s="3" t="s">
        <v>52</v>
      </c>
      <c r="F26" s="3">
        <v>800</v>
      </c>
      <c r="G26" s="2" t="s">
        <v>10</v>
      </c>
      <c r="H26" s="2" t="s">
        <v>20</v>
      </c>
    </row>
    <row r="27" spans="1:8" x14ac:dyDescent="0.25">
      <c r="A27" s="1">
        <v>45558</v>
      </c>
      <c r="B27" s="9">
        <f>MONTH(tbl_operations[[#This Row],[Data]])</f>
        <v>9</v>
      </c>
      <c r="C27" s="2" t="s">
        <v>12</v>
      </c>
      <c r="D27" s="2" t="s">
        <v>33</v>
      </c>
      <c r="E27" s="3" t="s">
        <v>53</v>
      </c>
      <c r="F27" s="3">
        <v>1500</v>
      </c>
      <c r="G27" s="2" t="s">
        <v>19</v>
      </c>
      <c r="H27" s="2" t="s">
        <v>16</v>
      </c>
    </row>
    <row r="28" spans="1:8" x14ac:dyDescent="0.25">
      <c r="A28" s="1">
        <v>45561</v>
      </c>
      <c r="B28" s="9">
        <f>MONTH(tbl_operations[[#This Row],[Data]])</f>
        <v>9</v>
      </c>
      <c r="C28" s="2" t="s">
        <v>12</v>
      </c>
      <c r="D28" s="2" t="s">
        <v>54</v>
      </c>
      <c r="E28" s="3" t="s">
        <v>55</v>
      </c>
      <c r="F28" s="3">
        <v>250</v>
      </c>
      <c r="G28" s="2" t="s">
        <v>15</v>
      </c>
      <c r="H28" s="2" t="s">
        <v>20</v>
      </c>
    </row>
    <row r="29" spans="1:8" x14ac:dyDescent="0.25">
      <c r="A29" s="1">
        <v>45564</v>
      </c>
      <c r="B29" s="9">
        <f>MONTH(tbl_operations[[#This Row],[Data]])</f>
        <v>9</v>
      </c>
      <c r="C29" s="2" t="s">
        <v>12</v>
      </c>
      <c r="D29" s="2" t="s">
        <v>37</v>
      </c>
      <c r="E29" s="3" t="s">
        <v>56</v>
      </c>
      <c r="F29" s="3">
        <v>400</v>
      </c>
      <c r="G29" s="2" t="s">
        <v>19</v>
      </c>
      <c r="H29" s="2" t="s">
        <v>16</v>
      </c>
    </row>
    <row r="30" spans="1:8" x14ac:dyDescent="0.25">
      <c r="A30" s="1">
        <v>45566</v>
      </c>
      <c r="B30" s="9">
        <f>MONTH(tbl_operations[[#This Row],[Data]])</f>
        <v>10</v>
      </c>
      <c r="C30" s="2" t="s">
        <v>7</v>
      </c>
      <c r="D30" s="2" t="s">
        <v>8</v>
      </c>
      <c r="E30" s="2" t="s">
        <v>9</v>
      </c>
      <c r="F30" s="3">
        <v>5000</v>
      </c>
      <c r="G30" s="2" t="s">
        <v>10</v>
      </c>
      <c r="H30" s="2" t="s">
        <v>11</v>
      </c>
    </row>
    <row r="31" spans="1:8" x14ac:dyDescent="0.25">
      <c r="A31" s="1">
        <v>45566</v>
      </c>
      <c r="B31" s="9">
        <f>MONTH(tbl_operations[[#This Row],[Data]])</f>
        <v>10</v>
      </c>
      <c r="C31" s="2" t="s">
        <v>12</v>
      </c>
      <c r="D31" s="2" t="s">
        <v>13</v>
      </c>
      <c r="E31" s="2" t="s">
        <v>14</v>
      </c>
      <c r="F31" s="3">
        <v>600</v>
      </c>
      <c r="G31" s="2" t="s">
        <v>15</v>
      </c>
      <c r="H31" s="2" t="s">
        <v>16</v>
      </c>
    </row>
    <row r="32" spans="1:8" x14ac:dyDescent="0.25">
      <c r="A32" s="1">
        <v>45568</v>
      </c>
      <c r="B32" s="9">
        <f>MONTH(tbl_operations[[#This Row],[Data]])</f>
        <v>10</v>
      </c>
      <c r="C32" s="2" t="s">
        <v>12</v>
      </c>
      <c r="D32" s="2" t="s">
        <v>17</v>
      </c>
      <c r="E32" s="2" t="s">
        <v>57</v>
      </c>
      <c r="F32" s="3">
        <v>200</v>
      </c>
      <c r="G32" s="2" t="s">
        <v>19</v>
      </c>
      <c r="H32" s="2" t="s">
        <v>20</v>
      </c>
    </row>
    <row r="33" spans="1:8" x14ac:dyDescent="0.25">
      <c r="A33" s="1">
        <v>45570</v>
      </c>
      <c r="B33" s="9">
        <f>MONTH(tbl_operations[[#This Row],[Data]])</f>
        <v>10</v>
      </c>
      <c r="C33" s="2" t="s">
        <v>12</v>
      </c>
      <c r="D33" s="2" t="s">
        <v>21</v>
      </c>
      <c r="E33" s="2" t="s">
        <v>58</v>
      </c>
      <c r="F33" s="3">
        <v>180</v>
      </c>
      <c r="G33" s="2" t="s">
        <v>10</v>
      </c>
      <c r="H33" s="2" t="s">
        <v>20</v>
      </c>
    </row>
    <row r="34" spans="1:8" x14ac:dyDescent="0.25">
      <c r="A34" s="1">
        <v>45573</v>
      </c>
      <c r="B34" s="9">
        <f>MONTH(tbl_operations[[#This Row],[Data]])</f>
        <v>10</v>
      </c>
      <c r="C34" s="2" t="s">
        <v>12</v>
      </c>
      <c r="D34" s="2" t="s">
        <v>23</v>
      </c>
      <c r="E34" s="2" t="s">
        <v>59</v>
      </c>
      <c r="F34" s="3">
        <v>120</v>
      </c>
      <c r="G34" s="2" t="s">
        <v>15</v>
      </c>
      <c r="H34" s="2" t="s">
        <v>16</v>
      </c>
    </row>
    <row r="35" spans="1:8" x14ac:dyDescent="0.25">
      <c r="A35" s="1">
        <v>45575</v>
      </c>
      <c r="B35" s="9">
        <f>MONTH(tbl_operations[[#This Row],[Data]])</f>
        <v>10</v>
      </c>
      <c r="C35" s="2" t="s">
        <v>12</v>
      </c>
      <c r="D35" s="2" t="s">
        <v>25</v>
      </c>
      <c r="E35" s="2" t="s">
        <v>60</v>
      </c>
      <c r="F35" s="3">
        <v>350</v>
      </c>
      <c r="G35" s="2" t="s">
        <v>19</v>
      </c>
      <c r="H35" s="2" t="s">
        <v>16</v>
      </c>
    </row>
    <row r="36" spans="1:8" x14ac:dyDescent="0.25">
      <c r="A36" s="1">
        <v>45578</v>
      </c>
      <c r="B36" s="9">
        <f>MONTH(tbl_operations[[#This Row],[Data]])</f>
        <v>10</v>
      </c>
      <c r="C36" s="2" t="s">
        <v>12</v>
      </c>
      <c r="D36" s="2" t="s">
        <v>27</v>
      </c>
      <c r="E36" s="2" t="s">
        <v>61</v>
      </c>
      <c r="F36" s="3">
        <v>400</v>
      </c>
      <c r="G36" s="2" t="s">
        <v>10</v>
      </c>
      <c r="H36" s="2" t="s">
        <v>20</v>
      </c>
    </row>
    <row r="37" spans="1:8" x14ac:dyDescent="0.25">
      <c r="A37" s="1">
        <v>45580</v>
      </c>
      <c r="B37" s="9">
        <f>MONTH(tbl_operations[[#This Row],[Data]])</f>
        <v>10</v>
      </c>
      <c r="C37" s="2" t="s">
        <v>12</v>
      </c>
      <c r="D37" s="2" t="s">
        <v>31</v>
      </c>
      <c r="E37" s="2" t="s">
        <v>62</v>
      </c>
      <c r="F37" s="3">
        <v>450</v>
      </c>
      <c r="G37" s="2" t="s">
        <v>15</v>
      </c>
      <c r="H37" s="2" t="s">
        <v>20</v>
      </c>
    </row>
    <row r="38" spans="1:8" ht="30" x14ac:dyDescent="0.25">
      <c r="A38" s="1">
        <v>45583</v>
      </c>
      <c r="B38" s="9">
        <f>MONTH(tbl_operations[[#This Row],[Data]])</f>
        <v>10</v>
      </c>
      <c r="C38" s="2" t="s">
        <v>7</v>
      </c>
      <c r="D38" s="2" t="s">
        <v>63</v>
      </c>
      <c r="E38" s="2" t="s">
        <v>64</v>
      </c>
      <c r="F38" s="3">
        <v>1500</v>
      </c>
      <c r="G38" s="2" t="s">
        <v>10</v>
      </c>
      <c r="H38" s="2" t="s">
        <v>11</v>
      </c>
    </row>
    <row r="39" spans="1:8" x14ac:dyDescent="0.25">
      <c r="A39" s="1">
        <v>45583</v>
      </c>
      <c r="B39" s="9">
        <f>MONTH(tbl_operations[[#This Row],[Data]])</f>
        <v>10</v>
      </c>
      <c r="C39" s="2" t="s">
        <v>12</v>
      </c>
      <c r="D39" s="2" t="s">
        <v>33</v>
      </c>
      <c r="E39" s="2" t="s">
        <v>65</v>
      </c>
      <c r="F39" s="3">
        <v>300</v>
      </c>
      <c r="G39" s="2" t="s">
        <v>19</v>
      </c>
      <c r="H39" s="2" t="s">
        <v>16</v>
      </c>
    </row>
    <row r="40" spans="1:8" x14ac:dyDescent="0.25">
      <c r="A40" s="1">
        <v>45585</v>
      </c>
      <c r="B40" s="9">
        <f>MONTH(tbl_operations[[#This Row],[Data]])</f>
        <v>10</v>
      </c>
      <c r="C40" s="2" t="s">
        <v>12</v>
      </c>
      <c r="D40" s="2" t="s">
        <v>35</v>
      </c>
      <c r="E40" s="2" t="s">
        <v>66</v>
      </c>
      <c r="F40" s="3">
        <v>800</v>
      </c>
      <c r="G40" s="2" t="s">
        <v>10</v>
      </c>
      <c r="H40" s="2" t="s">
        <v>20</v>
      </c>
    </row>
    <row r="41" spans="1:8" x14ac:dyDescent="0.25">
      <c r="A41" s="1">
        <v>45587</v>
      </c>
      <c r="B41" s="9">
        <f>MONTH(tbl_operations[[#This Row],[Data]])</f>
        <v>10</v>
      </c>
      <c r="C41" s="2" t="s">
        <v>12</v>
      </c>
      <c r="D41" s="2" t="s">
        <v>37</v>
      </c>
      <c r="E41" s="2" t="s">
        <v>67</v>
      </c>
      <c r="F41" s="3">
        <v>250</v>
      </c>
      <c r="G41" s="2" t="s">
        <v>19</v>
      </c>
      <c r="H41" s="2" t="s">
        <v>16</v>
      </c>
    </row>
    <row r="42" spans="1:8" x14ac:dyDescent="0.25">
      <c r="A42" s="1">
        <v>45589</v>
      </c>
      <c r="B42" s="9">
        <f>MONTH(tbl_operations[[#This Row],[Data]])</f>
        <v>10</v>
      </c>
      <c r="C42" s="2" t="s">
        <v>12</v>
      </c>
      <c r="D42" s="2" t="s">
        <v>41</v>
      </c>
      <c r="E42" s="2" t="s">
        <v>68</v>
      </c>
      <c r="F42" s="3">
        <v>150</v>
      </c>
      <c r="G42" s="2" t="s">
        <v>15</v>
      </c>
      <c r="H42" s="2" t="s">
        <v>20</v>
      </c>
    </row>
    <row r="43" spans="1:8" x14ac:dyDescent="0.25">
      <c r="A43" s="1">
        <v>45591</v>
      </c>
      <c r="B43" s="9">
        <f>MONTH(tbl_operations[[#This Row],[Data]])</f>
        <v>10</v>
      </c>
      <c r="C43" s="2" t="s">
        <v>12</v>
      </c>
      <c r="D43" s="2" t="s">
        <v>39</v>
      </c>
      <c r="E43" s="2" t="s">
        <v>69</v>
      </c>
      <c r="F43" s="3">
        <v>250</v>
      </c>
      <c r="G43" s="2" t="s">
        <v>10</v>
      </c>
      <c r="H43" s="2" t="s">
        <v>16</v>
      </c>
    </row>
    <row r="44" spans="1:8" x14ac:dyDescent="0.25">
      <c r="A44" s="1">
        <v>45595</v>
      </c>
      <c r="B44" s="9">
        <f>MONTH(tbl_operations[[#This Row],[Data]])</f>
        <v>10</v>
      </c>
      <c r="C44" s="2" t="s">
        <v>12</v>
      </c>
      <c r="D44" s="2" t="s">
        <v>45</v>
      </c>
      <c r="E44" s="2" t="s">
        <v>70</v>
      </c>
      <c r="F44" s="3">
        <v>220</v>
      </c>
      <c r="G44" s="2" t="s">
        <v>10</v>
      </c>
      <c r="H44" s="2" t="s">
        <v>16</v>
      </c>
    </row>
    <row r="45" spans="1:8" ht="30" x14ac:dyDescent="0.25">
      <c r="A45" s="1">
        <v>45596</v>
      </c>
      <c r="B45" s="9">
        <f>MONTH(tbl_operations[[#This Row],[Data]])</f>
        <v>10</v>
      </c>
      <c r="C45" s="2" t="s">
        <v>12</v>
      </c>
      <c r="D45" s="2" t="s">
        <v>43</v>
      </c>
      <c r="E45" s="2" t="s">
        <v>71</v>
      </c>
      <c r="F45" s="3">
        <v>500</v>
      </c>
      <c r="G45" s="2" t="s">
        <v>19</v>
      </c>
      <c r="H45" s="2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3406-18CF-4A9F-AE09-108EDE9EA195}">
  <sheetPr>
    <tabColor rgb="FF00B0F0"/>
  </sheetPr>
  <dimension ref="A1:U22"/>
  <sheetViews>
    <sheetView zoomScale="130" zoomScaleNormal="130" workbookViewId="0">
      <selection activeCell="D14" sqref="D14"/>
    </sheetView>
  </sheetViews>
  <sheetFormatPr defaultRowHeight="15" x14ac:dyDescent="0.25"/>
  <cols>
    <col min="3" max="3" width="21" customWidth="1"/>
    <col min="4" max="4" width="20.85546875" customWidth="1"/>
  </cols>
  <sheetData>
    <row r="1" spans="1:21" s="8" customFormat="1" ht="54" customHeight="1" x14ac:dyDescent="0.25"/>
    <row r="2" spans="1:2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25">
      <c r="A3" s="11"/>
      <c r="B3" s="11"/>
      <c r="C3" s="16" t="s">
        <v>78</v>
      </c>
      <c r="D3" s="13">
        <f>SUM(Tabela2[[#All],[Depósito Reservado]])</f>
        <v>3340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x14ac:dyDescent="0.25">
      <c r="A4" s="11"/>
      <c r="B4" s="11"/>
      <c r="C4" s="16" t="s">
        <v>79</v>
      </c>
      <c r="D4" s="13">
        <v>20000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x14ac:dyDescent="0.25">
      <c r="A6" s="11"/>
      <c r="B6" s="11"/>
      <c r="C6" s="12" t="s">
        <v>76</v>
      </c>
      <c r="D6" s="12" t="s">
        <v>77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x14ac:dyDescent="0.25">
      <c r="A7" s="11"/>
      <c r="B7" s="11"/>
      <c r="C7" s="14">
        <v>45427</v>
      </c>
      <c r="D7" s="13">
        <v>50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x14ac:dyDescent="0.25">
      <c r="A8" s="11"/>
      <c r="B8" s="11"/>
      <c r="C8" s="14">
        <v>45428</v>
      </c>
      <c r="D8" s="13">
        <v>60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x14ac:dyDescent="0.25">
      <c r="A9" s="11"/>
      <c r="B9" s="11"/>
      <c r="C9" s="14">
        <v>45429</v>
      </c>
      <c r="D9" s="13">
        <v>70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x14ac:dyDescent="0.25">
      <c r="A10" s="11"/>
      <c r="B10" s="11"/>
      <c r="C10" s="14">
        <v>45430</v>
      </c>
      <c r="D10" s="13">
        <v>80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x14ac:dyDescent="0.25">
      <c r="A11" s="11"/>
      <c r="B11" s="11"/>
      <c r="C11" s="14">
        <v>45431</v>
      </c>
      <c r="D11" s="13">
        <v>90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x14ac:dyDescent="0.25">
      <c r="A12" s="11"/>
      <c r="B12" s="11"/>
      <c r="C12" s="14">
        <v>45432</v>
      </c>
      <c r="D12" s="13">
        <v>100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x14ac:dyDescent="0.25">
      <c r="A13" s="11"/>
      <c r="B13" s="11"/>
      <c r="C13" s="14">
        <v>45433</v>
      </c>
      <c r="D13" s="13">
        <v>2500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x14ac:dyDescent="0.25">
      <c r="A14" s="11"/>
      <c r="B14" s="11"/>
      <c r="C14" s="14">
        <v>45434</v>
      </c>
      <c r="D14" s="13">
        <v>120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1"/>
      <c r="B15" s="11"/>
      <c r="C15" s="14">
        <v>45435</v>
      </c>
      <c r="D15" s="13">
        <v>130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1"/>
      <c r="B16" s="11"/>
      <c r="C16" s="14">
        <v>45436</v>
      </c>
      <c r="D16" s="13">
        <v>140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11"/>
      <c r="B17" s="11"/>
      <c r="C17" s="11"/>
      <c r="D17" s="15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6C73-C442-49F2-8150-5E8D4624D53A}">
  <sheetPr>
    <tabColor rgb="FF0070C0"/>
  </sheetPr>
  <dimension ref="C1:G17"/>
  <sheetViews>
    <sheetView showGridLines="0" workbookViewId="0">
      <selection activeCell="C9" sqref="C9"/>
    </sheetView>
  </sheetViews>
  <sheetFormatPr defaultRowHeight="15" x14ac:dyDescent="0.25"/>
  <cols>
    <col min="3" max="3" width="20.85546875" bestFit="1" customWidth="1"/>
    <col min="4" max="4" width="13.85546875" bestFit="1" customWidth="1"/>
    <col min="5" max="5" width="9" customWidth="1"/>
    <col min="6" max="6" width="18" bestFit="1" customWidth="1"/>
    <col min="7" max="7" width="13.85546875" bestFit="1" customWidth="1"/>
  </cols>
  <sheetData>
    <row r="1" spans="3:7" x14ac:dyDescent="0.25">
      <c r="C1" s="5" t="s">
        <v>1</v>
      </c>
      <c r="D1" t="s">
        <v>12</v>
      </c>
      <c r="F1" s="5" t="s">
        <v>1</v>
      </c>
      <c r="G1" t="s">
        <v>7</v>
      </c>
    </row>
    <row r="3" spans="3:7" x14ac:dyDescent="0.25">
      <c r="C3" s="5" t="s">
        <v>72</v>
      </c>
      <c r="D3" t="s">
        <v>74</v>
      </c>
      <c r="F3" s="5" t="s">
        <v>72</v>
      </c>
      <c r="G3" t="s">
        <v>74</v>
      </c>
    </row>
    <row r="4" spans="3:7" x14ac:dyDescent="0.25">
      <c r="C4" s="6" t="s">
        <v>13</v>
      </c>
      <c r="D4" s="7">
        <v>550</v>
      </c>
      <c r="F4" s="6" t="s">
        <v>29</v>
      </c>
      <c r="G4" s="7">
        <v>800</v>
      </c>
    </row>
    <row r="5" spans="3:7" x14ac:dyDescent="0.25">
      <c r="C5" s="6" t="s">
        <v>39</v>
      </c>
      <c r="D5" s="7">
        <v>80</v>
      </c>
      <c r="F5" s="6" t="s">
        <v>8</v>
      </c>
      <c r="G5" s="7">
        <v>5000</v>
      </c>
    </row>
    <row r="6" spans="3:7" x14ac:dyDescent="0.25">
      <c r="C6" s="6" t="s">
        <v>25</v>
      </c>
      <c r="D6" s="7">
        <v>400</v>
      </c>
      <c r="F6" s="6" t="s">
        <v>73</v>
      </c>
      <c r="G6" s="7">
        <v>5800</v>
      </c>
    </row>
    <row r="7" spans="3:7" x14ac:dyDescent="0.25">
      <c r="C7" s="6" t="s">
        <v>33</v>
      </c>
      <c r="D7" s="7">
        <v>1200</v>
      </c>
    </row>
    <row r="8" spans="3:7" x14ac:dyDescent="0.25">
      <c r="C8" s="6" t="s">
        <v>45</v>
      </c>
      <c r="D8" s="7">
        <v>350</v>
      </c>
    </row>
    <row r="9" spans="3:7" x14ac:dyDescent="0.25">
      <c r="C9" s="6" t="s">
        <v>21</v>
      </c>
      <c r="D9" s="7">
        <v>120</v>
      </c>
    </row>
    <row r="10" spans="3:7" x14ac:dyDescent="0.25">
      <c r="C10" s="6" t="s">
        <v>41</v>
      </c>
      <c r="D10" s="7">
        <v>200</v>
      </c>
    </row>
    <row r="11" spans="3:7" x14ac:dyDescent="0.25">
      <c r="C11" s="6" t="s">
        <v>23</v>
      </c>
      <c r="D11" s="7">
        <v>250</v>
      </c>
    </row>
    <row r="12" spans="3:7" x14ac:dyDescent="0.25">
      <c r="C12" s="6" t="s">
        <v>31</v>
      </c>
      <c r="D12" s="7">
        <v>150</v>
      </c>
    </row>
    <row r="13" spans="3:7" x14ac:dyDescent="0.25">
      <c r="C13" s="6" t="s">
        <v>17</v>
      </c>
      <c r="D13" s="7">
        <v>300</v>
      </c>
    </row>
    <row r="14" spans="3:7" x14ac:dyDescent="0.25">
      <c r="C14" s="6" t="s">
        <v>35</v>
      </c>
      <c r="D14" s="7">
        <v>450</v>
      </c>
    </row>
    <row r="15" spans="3:7" x14ac:dyDescent="0.25">
      <c r="C15" s="6" t="s">
        <v>27</v>
      </c>
      <c r="D15" s="7">
        <v>600</v>
      </c>
    </row>
    <row r="16" spans="3:7" x14ac:dyDescent="0.25">
      <c r="C16" s="6" t="s">
        <v>43</v>
      </c>
      <c r="D16" s="7">
        <v>750</v>
      </c>
    </row>
    <row r="17" spans="3:4" x14ac:dyDescent="0.25">
      <c r="C17" s="6" t="s">
        <v>73</v>
      </c>
      <c r="D17" s="7">
        <v>5400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ACA1-5BF0-407B-A268-99CC64D115FE}">
  <dimension ref="A1:U1"/>
  <sheetViews>
    <sheetView showGridLines="0" showRowColHeaders="0" tabSelected="1" zoomScale="70" zoomScaleNormal="70" workbookViewId="0">
      <selection activeCell="U9" sqref="U9"/>
    </sheetView>
  </sheetViews>
  <sheetFormatPr defaultColWidth="0" defaultRowHeight="15" x14ac:dyDescent="0.25"/>
  <cols>
    <col min="1" max="1" width="27.7109375" style="8" customWidth="1"/>
    <col min="2" max="21" width="9.140625" style="11" customWidth="1"/>
    <col min="22" max="16384" width="9.140625" hidden="1"/>
  </cols>
  <sheetData>
    <row r="1" ht="68.2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Caixinha</vt:lpstr>
      <vt:lpstr>Controller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 Borgheresi</dc:creator>
  <cp:lastModifiedBy>Dallan Borgheresi</cp:lastModifiedBy>
  <dcterms:created xsi:type="dcterms:W3CDTF">2025-04-11T21:28:23Z</dcterms:created>
  <dcterms:modified xsi:type="dcterms:W3CDTF">2025-04-14T19:20:27Z</dcterms:modified>
</cp:coreProperties>
</file>